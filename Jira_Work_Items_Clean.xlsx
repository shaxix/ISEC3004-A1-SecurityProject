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Items" sheetId="1" state="visible" r:id="rId3"/>
    <sheet name="Summary" sheetId="2" state="visible" r:id="rId4"/>
  </sheets>
  <definedNames>
    <definedName function="false" hidden="true" localSheetId="0" name="_xlnm._FilterDatabase" vbProcedure="false">'Work Items'!$A$1:$K$84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<sst xmlns="http://schemas.openxmlformats.org/spreadsheetml/2006/main" count="687" uniqueCount="208">
  <si>
    <t xml:space="preserve">Key</t>
  </si>
  <si>
    <t xml:space="preserve">Type</t>
  </si>
  <si>
    <t xml:space="preserve">Epic</t>
  </si>
  <si>
    <t xml:space="preserve">Parent</t>
  </si>
  <si>
    <t xml:space="preserve">Work item</t>
  </si>
  <si>
    <t xml:space="preserve">Assignee</t>
  </si>
  <si>
    <t xml:space="preserve">Status</t>
  </si>
  <si>
    <t xml:space="preserve">Start</t>
  </si>
  <si>
    <t xml:space="preserve">Due</t>
  </si>
  <si>
    <t xml:space="preserve">Resolved</t>
  </si>
  <si>
    <t xml:space="preserve">Notes</t>
  </si>
  <si>
    <t xml:space="preserve">KAN-91</t>
  </si>
  <si>
    <t xml:space="preserve">Meetings</t>
  </si>
  <si>
    <t xml:space="preserve">Indiana Silbert</t>
  </si>
  <si>
    <t xml:space="preserve">Done</t>
  </si>
  <si>
    <t xml:space="preserve">28/08/2026</t>
  </si>
  <si>
    <t xml:space="preserve">09/10/2026</t>
  </si>
  <si>
    <t xml:space="preserve">Members required to be present:
@Shakiba B @Sangjun Nam @Banyei Chan @Lincoln van Halen @Indiana Silbert</t>
  </si>
  <si>
    <t xml:space="preserve">KAN-102</t>
  </si>
  <si>
    <t xml:space="preserve">Task</t>
  </si>
  <si>
    <t xml:space="preserve">Meetup on 28th in Library</t>
  </si>
  <si>
    <t xml:space="preserve">28/09/2026</t>
  </si>
  <si>
    <t xml:space="preserve">During Tuition-free week
everyone attend:
@Shakiba B @Sangjun Nam @Banyei Chan @Lincoln van Halen @Indiana Silbert</t>
  </si>
  <si>
    <t xml:space="preserve">KAN-104</t>
  </si>
  <si>
    <t xml:space="preserve">Minutes</t>
  </si>
  <si>
    <t xml:space="preserve">@Indiana Silbert , please upload minutes to Google Doc after each meeting, thanks
* 28/08
* 04/09 
* 11/09 
* 18/09 
* 25/09 
* 28/09 
* 02/10 
* 09/10</t>
  </si>
  <si>
    <t xml:space="preserve">KAN-135</t>
  </si>
  <si>
    <t xml:space="preserve">Project Management</t>
  </si>
  <si>
    <t xml:space="preserve">Sangjun Nam</t>
  </si>
  <si>
    <t xml:space="preserve">KAN-103</t>
  </si>
  <si>
    <t xml:space="preserve">Subtask</t>
  </si>
  <si>
    <t xml:space="preserve">Library Room Booking</t>
  </si>
  <si>
    <t xml:space="preserve">Need booking from 12-6 pm
* 12-2 pm: @Indiana Silbert 
* 2-4 pm: @Sangjun Nam 
* 4-6 pm: @Lincoln van Halen</t>
  </si>
  <si>
    <t xml:space="preserve">KAN-136</t>
  </si>
  <si>
    <t xml:space="preserve">Effort estimation (estimated hours)</t>
  </si>
  <si>
    <t xml:space="preserve">Shakiba B</t>
  </si>
  <si>
    <t xml:space="preserve">KAN-137</t>
  </si>
  <si>
    <t xml:space="preserve">Gantt chart</t>
  </si>
  <si>
    <t xml:space="preserve">KAN-138</t>
  </si>
  <si>
    <t xml:space="preserve">WBS</t>
  </si>
  <si>
    <t xml:space="preserve">KAN-140</t>
  </si>
  <si>
    <t xml:space="preserve">Weekly progress check or status update</t>
  </si>
  <si>
    <t xml:space="preserve">KAN-76</t>
  </si>
  <si>
    <t xml:space="preserve">Application Setups</t>
  </si>
  <si>
    <t xml:space="preserve">Lincoln van Halen</t>
  </si>
  <si>
    <t xml:space="preserve">31/08/2026</t>
  </si>
  <si>
    <t xml:space="preserve">07/10/2026</t>
  </si>
  <si>
    <t xml:space="preserve">KAN-80</t>
  </si>
  <si>
    <t xml:space="preserve">GitHub</t>
  </si>
  <si>
    <t xml:space="preserve">04/09/2026</t>
  </si>
  <si>
    <t xml:space="preserve">Target date: 04/09</t>
  </si>
  <si>
    <t xml:space="preserve">KAN-81</t>
  </si>
  <si>
    <t xml:space="preserve">Jira</t>
  </si>
  <si>
    <t xml:space="preserve">KAN-82</t>
  </si>
  <si>
    <t xml:space="preserve">Wazuh</t>
  </si>
  <si>
    <t xml:space="preserve">02/10/2026</t>
  </si>
  <si>
    <t xml:space="preserve">Target date: 02/10</t>
  </si>
  <si>
    <t xml:space="preserve">KAN-84</t>
  </si>
  <si>
    <t xml:space="preserve">Google Docs</t>
  </si>
  <si>
    <t xml:space="preserve">KAN-87</t>
  </si>
  <si>
    <t xml:space="preserve">Virtual Machines</t>
  </si>
  <si>
    <t xml:space="preserve">11/09/2026</t>
  </si>
  <si>
    <t xml:space="preserve">KAN-94</t>
  </si>
  <si>
    <t xml:space="preserve">Malicious Websites</t>
  </si>
  <si>
    <t xml:space="preserve">KAN-100</t>
  </si>
  <si>
    <t xml:space="preserve">Apache</t>
  </si>
  <si>
    <t xml:space="preserve">Banyei Chan</t>
  </si>
  <si>
    <t xml:space="preserve">Target date: 11/09</t>
  </si>
  <si>
    <t xml:space="preserve">KAN-83</t>
  </si>
  <si>
    <t xml:space="preserve">Add all members</t>
  </si>
  <si>
    <t xml:space="preserve">KAN-86</t>
  </si>
  <si>
    <t xml:space="preserve">Upload CSRF Website</t>
  </si>
  <si>
    <t xml:space="preserve">Target date: 28/09</t>
  </si>
  <si>
    <t xml:space="preserve">KAN-88</t>
  </si>
  <si>
    <t xml:space="preserve">For Path Traversal</t>
  </si>
  <si>
    <t xml:space="preserve">KAN-89</t>
  </si>
  <si>
    <t xml:space="preserve">For CSRF (x2)</t>
  </si>
  <si>
    <t xml:space="preserve">@Banyei Chan @Sangjun Nam 04/09</t>
  </si>
  <si>
    <t xml:space="preserve">KAN-95</t>
  </si>
  <si>
    <t xml:space="preserve">Path Traversal Web Servers</t>
  </si>
  <si>
    <t xml:space="preserve">* HTTP/GET Request
* Track using Wireshark</t>
  </si>
  <si>
    <t xml:space="preserve">KAN-96</t>
  </si>
  <si>
    <t xml:space="preserve">CSRF</t>
  </si>
  <si>
    <t xml:space="preserve">* Anyone should be able to log in
* Logged in user then visits a separate website with malicious Code
* Authentication Session Token is passed from the two websites by the browser</t>
  </si>
  <si>
    <t xml:space="preserve">KAN-113</t>
  </si>
  <si>
    <t xml:space="preserve">Jira Organisation</t>
  </si>
  <si>
    <t xml:space="preserve">KAN-42</t>
  </si>
  <si>
    <t xml:space="preserve">Research</t>
  </si>
  <si>
    <t xml:space="preserve">29/09/2026</t>
  </si>
  <si>
    <t xml:space="preserve">KAN-92</t>
  </si>
  <si>
    <t xml:space="preserve">@Shakiba B @Banyei Chan @Indiana Silbert</t>
  </si>
  <si>
    <t xml:space="preserve">KAN-93</t>
  </si>
  <si>
    <t xml:space="preserve">Path Traversal</t>
  </si>
  <si>
    <t xml:space="preserve">KAN-97</t>
  </si>
  <si>
    <t xml:space="preserve">Mitigation Strategies</t>
  </si>
  <si>
    <t xml:space="preserve">Target date: 18/09</t>
  </si>
  <si>
    <t xml:space="preserve">KAN-98</t>
  </si>
  <si>
    <t xml:space="preserve">Vulnerability Exploitation</t>
  </si>
  <si>
    <t xml:space="preserve">Due on the 18/09</t>
  </si>
  <si>
    <t xml:space="preserve">KAN-99</t>
  </si>
  <si>
    <t xml:space="preserve">Vulnerability Identification and Explanation</t>
  </si>
  <si>
    <t xml:space="preserve">Due on the 04/09</t>
  </si>
  <si>
    <t xml:space="preserve">KAN-105</t>
  </si>
  <si>
    <t xml:space="preserve">Impact on Confidentiality, Availability, and Integrity</t>
  </si>
  <si>
    <t xml:space="preserve">KAN-106</t>
  </si>
  <si>
    <t xml:space="preserve">KAN-107</t>
  </si>
  <si>
    <t xml:space="preserve">KAN-108</t>
  </si>
  <si>
    <t xml:space="preserve">KAN-109</t>
  </si>
  <si>
    <t xml:space="preserve">KAN-115</t>
  </si>
  <si>
    <t xml:space="preserve">Why this vulnerability is common or significant (real-world examples, OWASP ranking)</t>
  </si>
  <si>
    <t xml:space="preserve">KAN-116</t>
  </si>
  <si>
    <t xml:space="preserve">KAN-117</t>
  </si>
  <si>
    <t xml:space="preserve">Step-by-step explanation of the exploit</t>
  </si>
  <si>
    <t xml:space="preserve">KAN-118</t>
  </si>
  <si>
    <t xml:space="preserve">KAN-131</t>
  </si>
  <si>
    <t xml:space="preserve">Development</t>
  </si>
  <si>
    <t xml:space="preserve">To Do</t>
  </si>
  <si>
    <t xml:space="preserve">KAN-119</t>
  </si>
  <si>
    <t xml:space="preserve">KAN-125</t>
  </si>
  <si>
    <t xml:space="preserve">KAN-120</t>
  </si>
  <si>
    <t xml:space="preserve">Write the vulnerable code</t>
  </si>
  <si>
    <t xml:space="preserve">KAN-122</t>
  </si>
  <si>
    <t xml:space="preserve">Write the exploit script or payload</t>
  </si>
  <si>
    <t xml:space="preserve">KAN-123</t>
  </si>
  <si>
    <t xml:space="preserve">Implement the mitigated code (anti-CSRF tokens and SameSite cookies)</t>
  </si>
  <si>
    <t xml:space="preserve">KAN-124</t>
  </si>
  <si>
    <t xml:space="preserve">Push to GitHub through a pull request</t>
  </si>
  <si>
    <t xml:space="preserve">KAN-126</t>
  </si>
  <si>
    <t xml:space="preserve">KAN-128</t>
  </si>
  <si>
    <t xml:space="preserve">KAN-129</t>
  </si>
  <si>
    <t xml:space="preserve">Implement the mitigated code (path canonicalisation and an allowlist)</t>
  </si>
  <si>
    <t xml:space="preserve">KAN-130</t>
  </si>
  <si>
    <t xml:space="preserve">KAN-132</t>
  </si>
  <si>
    <t xml:space="preserve">Detection and Tracing</t>
  </si>
  <si>
    <t xml:space="preserve">KAN-143</t>
  </si>
  <si>
    <t xml:space="preserve">Capture the attack in Burp Suite or OWASP ZAP</t>
  </si>
  <si>
    <t xml:space="preserve">KAN-144</t>
  </si>
  <si>
    <t xml:space="preserve">Collect Apache access/ error logs showing the attack</t>
  </si>
  <si>
    <t xml:space="preserve">KAN-145</t>
  </si>
  <si>
    <t xml:space="preserve">Configure Wazuh rules or alerts for the attack</t>
  </si>
  <si>
    <t xml:space="preserve">KAN-146</t>
  </si>
  <si>
    <t xml:space="preserve">Capture Path Traversal requests in Wireshark</t>
  </si>
  <si>
    <t xml:space="preserve">KAN-147</t>
  </si>
  <si>
    <t xml:space="preserve">Link each piece of evidence to an attack step, for the report</t>
  </si>
  <si>
    <t xml:space="preserve">KAN-133</t>
  </si>
  <si>
    <t xml:space="preserve">Testing and QA</t>
  </si>
  <si>
    <t xml:space="preserve">KAN-148</t>
  </si>
  <si>
    <t xml:space="preserve">Peer code review of the vulnerable and mitigated code</t>
  </si>
  <si>
    <t xml:space="preserve">KAN-149</t>
  </si>
  <si>
    <t xml:space="preserve">Second member reproduces each exploit in a clean VM</t>
  </si>
  <si>
    <t xml:space="preserve">KAN-150</t>
  </si>
  <si>
    <t xml:space="preserve">Re-run each exploit against the mitigated code and confirm it fails</t>
  </si>
  <si>
    <t xml:space="preserve">KAN-151</t>
  </si>
  <si>
    <t xml:space="preserve">Check that the tracing evidence matches the attack steps</t>
  </si>
  <si>
    <t xml:space="preserve">KAN-152</t>
  </si>
  <si>
    <t xml:space="preserve">Proofread the final report and check references</t>
  </si>
  <si>
    <t xml:space="preserve">KAN-39</t>
  </si>
  <si>
    <t xml:space="preserve">Report</t>
  </si>
  <si>
    <t xml:space="preserve">In Progress</t>
  </si>
  <si>
    <t xml:space="preserve">KAN-77</t>
  </si>
  <si>
    <t xml:space="preserve">KAN-78</t>
  </si>
  <si>
    <t xml:space="preserve">KAN-79</t>
  </si>
  <si>
    <t xml:space="preserve">General Structure</t>
  </si>
  <si>
    <t xml:space="preserve">18/09/2026</t>
  </si>
  <si>
    <t xml:space="preserve">KAN-112</t>
  </si>
  <si>
    <t xml:space="preserve">Group Sheet</t>
  </si>
  <si>
    <t xml:space="preserve">KAN-154</t>
  </si>
  <si>
    <t xml:space="preserve">Team organisation and project plan</t>
  </si>
  <si>
    <t xml:space="preserve">KAN-156</t>
  </si>
  <si>
    <t xml:space="preserve">Mitigation strategies and security recommendations</t>
  </si>
  <si>
    <t xml:space="preserve">KAN-157</t>
  </si>
  <si>
    <t xml:space="preserve">Conclusion</t>
  </si>
  <si>
    <t xml:space="preserve">KAN-158</t>
  </si>
  <si>
    <t xml:space="preserve">References (IEEE or APA)</t>
  </si>
  <si>
    <t xml:space="preserve">KAN-159</t>
  </si>
  <si>
    <t xml:space="preserve">Appendices (code listings, full meeting minutes)</t>
  </si>
  <si>
    <t xml:space="preserve">KAN-160</t>
  </si>
  <si>
    <t xml:space="preserve">Package and submit: code zip with a README, report PDF</t>
  </si>
  <si>
    <t xml:space="preserve">KAN-90</t>
  </si>
  <si>
    <t xml:space="preserve">Formatting</t>
  </si>
  <si>
    <t xml:space="preserve">KAN-101</t>
  </si>
  <si>
    <t xml:space="preserve">Organise Research</t>
  </si>
  <si>
    <t xml:space="preserve">KAN-50</t>
  </si>
  <si>
    <t xml:space="preserve">Presentation</t>
  </si>
  <si>
    <t xml:space="preserve">Planned</t>
  </si>
  <si>
    <t xml:space="preserve">19/10/2026</t>
  </si>
  <si>
    <t xml:space="preserve">KAN-110</t>
  </si>
  <si>
    <t xml:space="preserve">Slides</t>
  </si>
  <si>
    <t xml:space="preserve">16/10/2026</t>
  </si>
  <si>
    <t xml:space="preserve">KAN-111</t>
  </si>
  <si>
    <t xml:space="preserve">Presentation Booking</t>
  </si>
  <si>
    <t xml:space="preserve">10/09/2026</t>
  </si>
  <si>
    <t xml:space="preserve">KAN-161</t>
  </si>
  <si>
    <t xml:space="preserve">Demo script and run order</t>
  </si>
  <si>
    <t xml:space="preserve">KAN-162</t>
  </si>
  <si>
    <t xml:space="preserve">Set up the demo environment on the presentation machine</t>
  </si>
  <si>
    <t xml:space="preserve">KAN-163</t>
  </si>
  <si>
    <t xml:space="preserve">Backup screen recording of the demo, in case the live demo breaks</t>
  </si>
  <si>
    <t xml:space="preserve">KAN-164</t>
  </si>
  <si>
    <t xml:space="preserve">Group rehearsal</t>
  </si>
  <si>
    <t xml:space="preserve">KAN-165</t>
  </si>
  <si>
    <t xml:space="preserve">Split speaking parts</t>
  </si>
  <si>
    <t xml:space="preserve">Jira work items by epic and status</t>
  </si>
  <si>
    <t xml:space="preserve">Counts tasks and subtasks (epics excluded). Calculated from the Work Items sheet.</t>
  </si>
  <si>
    <t xml:space="preserve">Total</t>
  </si>
  <si>
    <t xml:space="preserve">% Done</t>
  </si>
  <si>
    <t xml:space="preserve">Work items by assignee</t>
  </si>
  <si>
    <t xml:space="preserve">Source: Jira CSV export, 09/10/2026. Excluded: work items created in error and labelled for deletion ("DEL"), and one duplicate Testing epic. Account IDs replaced with member names; dates shown as DD/MM/YYYY.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</si>
</sst>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2514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EE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F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FCA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2</v>
      </c>
      <c r="C2" s="2" t="s">
        <v>12</v>
      </c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16</v>
      </c>
      <c r="K2" s="2" t="s">
        <v>17</v>
      </c>
    </row>
    <row r="3" customFormat="false" ht="46.25" hidden="false" customHeight="false" outlineLevel="0" collapsed="false">
      <c r="A3" s="3" t="s">
        <v>18</v>
      </c>
      <c r="B3" s="3" t="s">
        <v>19</v>
      </c>
      <c r="C3" s="3" t="s">
        <v>12</v>
      </c>
      <c r="D3" s="3"/>
      <c r="E3" s="3" t="s">
        <v>20</v>
      </c>
      <c r="F3" s="3" t="s">
        <v>13</v>
      </c>
      <c r="G3" s="3" t="s">
        <v>14</v>
      </c>
      <c r="H3" s="3" t="s">
        <v>21</v>
      </c>
      <c r="I3" s="3" t="s">
        <v>21</v>
      </c>
      <c r="J3" s="3" t="s">
        <v>21</v>
      </c>
      <c r="K3" s="3" t="s">
        <v>22</v>
      </c>
    </row>
    <row r="4" customFormat="false" ht="113.4" hidden="false" customHeight="false" outlineLevel="0" collapsed="false">
      <c r="A4" s="3" t="s">
        <v>23</v>
      </c>
      <c r="B4" s="3" t="s">
        <v>19</v>
      </c>
      <c r="C4" s="3" t="s">
        <v>12</v>
      </c>
      <c r="D4" s="3"/>
      <c r="E4" s="3" t="s">
        <v>24</v>
      </c>
      <c r="F4" s="3" t="s">
        <v>13</v>
      </c>
      <c r="G4" s="3" t="s">
        <v>14</v>
      </c>
      <c r="H4" s="3"/>
      <c r="I4" s="3" t="s">
        <v>16</v>
      </c>
      <c r="J4" s="3" t="s">
        <v>16</v>
      </c>
      <c r="K4" s="3" t="s">
        <v>25</v>
      </c>
    </row>
    <row r="5" customFormat="false" ht="15" hidden="false" customHeight="false" outlineLevel="0" collapsed="false">
      <c r="A5" s="3" t="s">
        <v>26</v>
      </c>
      <c r="B5" s="3" t="s">
        <v>19</v>
      </c>
      <c r="C5" s="3" t="s">
        <v>12</v>
      </c>
      <c r="D5" s="3"/>
      <c r="E5" s="3" t="s">
        <v>27</v>
      </c>
      <c r="F5" s="3" t="s">
        <v>28</v>
      </c>
      <c r="G5" s="3" t="s">
        <v>14</v>
      </c>
      <c r="H5" s="3"/>
      <c r="I5" s="3" t="s">
        <v>16</v>
      </c>
      <c r="J5" s="3" t="s">
        <v>16</v>
      </c>
      <c r="K5" s="3"/>
    </row>
    <row r="6" customFormat="false" ht="46.25" hidden="false" customHeight="false" outlineLevel="0" collapsed="false">
      <c r="A6" s="3" t="s">
        <v>29</v>
      </c>
      <c r="B6" s="3" t="s">
        <v>30</v>
      </c>
      <c r="C6" s="3" t="s">
        <v>12</v>
      </c>
      <c r="D6" s="3" t="s">
        <v>20</v>
      </c>
      <c r="E6" s="3" t="s">
        <v>31</v>
      </c>
      <c r="F6" s="3" t="s">
        <v>13</v>
      </c>
      <c r="G6" s="3" t="s">
        <v>14</v>
      </c>
      <c r="H6" s="3"/>
      <c r="I6" s="3"/>
      <c r="J6" s="3" t="s">
        <v>21</v>
      </c>
      <c r="K6" s="3" t="s">
        <v>32</v>
      </c>
    </row>
    <row r="7" customFormat="false" ht="15" hidden="false" customHeight="false" outlineLevel="0" collapsed="false">
      <c r="A7" s="3" t="s">
        <v>33</v>
      </c>
      <c r="B7" s="3" t="s">
        <v>30</v>
      </c>
      <c r="C7" s="3" t="s">
        <v>12</v>
      </c>
      <c r="D7" s="3" t="s">
        <v>27</v>
      </c>
      <c r="E7" s="3" t="s">
        <v>34</v>
      </c>
      <c r="F7" s="3" t="s">
        <v>35</v>
      </c>
      <c r="G7" s="3" t="s">
        <v>14</v>
      </c>
      <c r="H7" s="3"/>
      <c r="I7" s="3"/>
      <c r="J7" s="3" t="s">
        <v>16</v>
      </c>
      <c r="K7" s="3"/>
    </row>
    <row r="8" customFormat="false" ht="15" hidden="false" customHeight="false" outlineLevel="0" collapsed="false">
      <c r="A8" s="3" t="s">
        <v>36</v>
      </c>
      <c r="B8" s="3" t="s">
        <v>30</v>
      </c>
      <c r="C8" s="3" t="s">
        <v>12</v>
      </c>
      <c r="D8" s="3" t="s">
        <v>27</v>
      </c>
      <c r="E8" s="3" t="s">
        <v>37</v>
      </c>
      <c r="F8" s="3" t="s">
        <v>35</v>
      </c>
      <c r="G8" s="3" t="s">
        <v>14</v>
      </c>
      <c r="H8" s="3"/>
      <c r="I8" s="3"/>
      <c r="J8" s="3" t="s">
        <v>16</v>
      </c>
      <c r="K8" s="3"/>
    </row>
    <row r="9" customFormat="false" ht="15" hidden="false" customHeight="false" outlineLevel="0" collapsed="false">
      <c r="A9" s="3" t="s">
        <v>38</v>
      </c>
      <c r="B9" s="3" t="s">
        <v>30</v>
      </c>
      <c r="C9" s="3" t="s">
        <v>12</v>
      </c>
      <c r="D9" s="3" t="s">
        <v>27</v>
      </c>
      <c r="E9" s="3" t="s">
        <v>39</v>
      </c>
      <c r="F9" s="3" t="s">
        <v>35</v>
      </c>
      <c r="G9" s="3" t="s">
        <v>14</v>
      </c>
      <c r="H9" s="3"/>
      <c r="I9" s="3"/>
      <c r="J9" s="3" t="s">
        <v>16</v>
      </c>
      <c r="K9" s="3"/>
    </row>
    <row r="10" customFormat="false" ht="15" hidden="false" customHeight="false" outlineLevel="0" collapsed="false">
      <c r="A10" s="3" t="s">
        <v>40</v>
      </c>
      <c r="B10" s="3" t="s">
        <v>30</v>
      </c>
      <c r="C10" s="3" t="s">
        <v>12</v>
      </c>
      <c r="D10" s="3" t="s">
        <v>27</v>
      </c>
      <c r="E10" s="3" t="s">
        <v>41</v>
      </c>
      <c r="F10" s="3" t="s">
        <v>13</v>
      </c>
      <c r="G10" s="3" t="s">
        <v>14</v>
      </c>
      <c r="H10" s="3"/>
      <c r="I10" s="3"/>
      <c r="J10" s="3" t="s">
        <v>16</v>
      </c>
      <c r="K10" s="3"/>
    </row>
    <row r="11" customFormat="false" ht="15" hidden="false" customHeight="false" outlineLevel="0" collapsed="false">
      <c r="A11" s="2" t="s">
        <v>42</v>
      </c>
      <c r="B11" s="2" t="s">
        <v>2</v>
      </c>
      <c r="C11" s="2" t="s">
        <v>43</v>
      </c>
      <c r="D11" s="2"/>
      <c r="E11" s="2" t="s">
        <v>43</v>
      </c>
      <c r="F11" s="2" t="s">
        <v>44</v>
      </c>
      <c r="G11" s="2" t="s">
        <v>14</v>
      </c>
      <c r="H11" s="2" t="s">
        <v>45</v>
      </c>
      <c r="I11" s="2" t="s">
        <v>46</v>
      </c>
      <c r="J11" s="2" t="s">
        <v>16</v>
      </c>
      <c r="K11" s="2"/>
    </row>
    <row r="12" customFormat="false" ht="15" hidden="false" customHeight="false" outlineLevel="0" collapsed="false">
      <c r="A12" s="3" t="s">
        <v>47</v>
      </c>
      <c r="B12" s="3" t="s">
        <v>19</v>
      </c>
      <c r="C12" s="3" t="s">
        <v>43</v>
      </c>
      <c r="D12" s="3"/>
      <c r="E12" s="3" t="s">
        <v>48</v>
      </c>
      <c r="F12" s="3" t="s">
        <v>35</v>
      </c>
      <c r="G12" s="3" t="s">
        <v>14</v>
      </c>
      <c r="H12" s="3"/>
      <c r="I12" s="3" t="s">
        <v>49</v>
      </c>
      <c r="J12" s="3" t="s">
        <v>16</v>
      </c>
      <c r="K12" s="3" t="s">
        <v>50</v>
      </c>
    </row>
    <row r="13" customFormat="false" ht="15" hidden="false" customHeight="false" outlineLevel="0" collapsed="false">
      <c r="A13" s="3" t="s">
        <v>51</v>
      </c>
      <c r="B13" s="3" t="s">
        <v>19</v>
      </c>
      <c r="C13" s="3" t="s">
        <v>43</v>
      </c>
      <c r="D13" s="3"/>
      <c r="E13" s="3" t="s">
        <v>52</v>
      </c>
      <c r="F13" s="3" t="s">
        <v>44</v>
      </c>
      <c r="G13" s="3" t="s">
        <v>14</v>
      </c>
      <c r="H13" s="3"/>
      <c r="I13" s="3" t="s">
        <v>49</v>
      </c>
      <c r="J13" s="3" t="s">
        <v>16</v>
      </c>
      <c r="K13" s="3" t="s">
        <v>50</v>
      </c>
    </row>
    <row r="14" customFormat="false" ht="15" hidden="false" customHeight="false" outlineLevel="0" collapsed="false">
      <c r="A14" s="3" t="s">
        <v>53</v>
      </c>
      <c r="B14" s="3" t="s">
        <v>19</v>
      </c>
      <c r="C14" s="3" t="s">
        <v>43</v>
      </c>
      <c r="D14" s="3"/>
      <c r="E14" s="3" t="s">
        <v>54</v>
      </c>
      <c r="F14" s="3" t="s">
        <v>44</v>
      </c>
      <c r="G14" s="3" t="s">
        <v>14</v>
      </c>
      <c r="H14" s="3"/>
      <c r="I14" s="3" t="s">
        <v>55</v>
      </c>
      <c r="J14" s="3" t="s">
        <v>16</v>
      </c>
      <c r="K14" s="3" t="s">
        <v>56</v>
      </c>
    </row>
    <row r="15" customFormat="false" ht="15" hidden="false" customHeight="false" outlineLevel="0" collapsed="false">
      <c r="A15" s="3" t="s">
        <v>57</v>
      </c>
      <c r="B15" s="3" t="s">
        <v>19</v>
      </c>
      <c r="C15" s="3" t="s">
        <v>43</v>
      </c>
      <c r="D15" s="3"/>
      <c r="E15" s="3" t="s">
        <v>58</v>
      </c>
      <c r="F15" s="3" t="s">
        <v>13</v>
      </c>
      <c r="G15" s="3" t="s">
        <v>14</v>
      </c>
      <c r="H15" s="3"/>
      <c r="I15" s="3" t="s">
        <v>49</v>
      </c>
      <c r="J15" s="3" t="s">
        <v>21</v>
      </c>
      <c r="K15" s="3" t="s">
        <v>50</v>
      </c>
    </row>
    <row r="16" customFormat="false" ht="15" hidden="false" customHeight="false" outlineLevel="0" collapsed="false">
      <c r="A16" s="3" t="s">
        <v>59</v>
      </c>
      <c r="B16" s="3" t="s">
        <v>19</v>
      </c>
      <c r="C16" s="3" t="s">
        <v>43</v>
      </c>
      <c r="D16" s="3"/>
      <c r="E16" s="3" t="s">
        <v>60</v>
      </c>
      <c r="F16" s="3" t="s">
        <v>28</v>
      </c>
      <c r="G16" s="3" t="s">
        <v>14</v>
      </c>
      <c r="H16" s="3"/>
      <c r="I16" s="3" t="s">
        <v>61</v>
      </c>
      <c r="J16" s="3" t="s">
        <v>21</v>
      </c>
      <c r="K16" s="3"/>
    </row>
    <row r="17" customFormat="false" ht="15" hidden="false" customHeight="false" outlineLevel="0" collapsed="false">
      <c r="A17" s="3" t="s">
        <v>62</v>
      </c>
      <c r="B17" s="3" t="s">
        <v>19</v>
      </c>
      <c r="C17" s="3" t="s">
        <v>43</v>
      </c>
      <c r="D17" s="3"/>
      <c r="E17" s="3" t="s">
        <v>63</v>
      </c>
      <c r="F17" s="3" t="s">
        <v>28</v>
      </c>
      <c r="G17" s="3" t="s">
        <v>14</v>
      </c>
      <c r="H17" s="3"/>
      <c r="I17" s="3" t="s">
        <v>55</v>
      </c>
      <c r="J17" s="3" t="s">
        <v>16</v>
      </c>
      <c r="K17" s="3"/>
    </row>
    <row r="18" customFormat="false" ht="15" hidden="false" customHeight="false" outlineLevel="0" collapsed="false">
      <c r="A18" s="3" t="s">
        <v>64</v>
      </c>
      <c r="B18" s="3" t="s">
        <v>19</v>
      </c>
      <c r="C18" s="3" t="s">
        <v>43</v>
      </c>
      <c r="D18" s="3"/>
      <c r="E18" s="3" t="s">
        <v>65</v>
      </c>
      <c r="F18" s="3" t="s">
        <v>66</v>
      </c>
      <c r="G18" s="3" t="s">
        <v>14</v>
      </c>
      <c r="H18" s="3"/>
      <c r="I18" s="3" t="s">
        <v>61</v>
      </c>
      <c r="J18" s="3" t="s">
        <v>16</v>
      </c>
      <c r="K18" s="3" t="s">
        <v>67</v>
      </c>
    </row>
    <row r="19" customFormat="false" ht="15" hidden="false" customHeight="false" outlineLevel="0" collapsed="false">
      <c r="A19" s="3" t="s">
        <v>68</v>
      </c>
      <c r="B19" s="3" t="s">
        <v>30</v>
      </c>
      <c r="C19" s="3" t="s">
        <v>43</v>
      </c>
      <c r="D19" s="3" t="s">
        <v>48</v>
      </c>
      <c r="E19" s="3" t="s">
        <v>69</v>
      </c>
      <c r="F19" s="3" t="s">
        <v>35</v>
      </c>
      <c r="G19" s="3" t="s">
        <v>14</v>
      </c>
      <c r="H19" s="3"/>
      <c r="I19" s="3"/>
      <c r="J19" s="3" t="s">
        <v>21</v>
      </c>
      <c r="K19" s="3" t="s">
        <v>67</v>
      </c>
    </row>
    <row r="20" customFormat="false" ht="15" hidden="false" customHeight="false" outlineLevel="0" collapsed="false">
      <c r="A20" s="3" t="s">
        <v>70</v>
      </c>
      <c r="B20" s="3" t="s">
        <v>30</v>
      </c>
      <c r="C20" s="3" t="s">
        <v>43</v>
      </c>
      <c r="D20" s="3" t="s">
        <v>48</v>
      </c>
      <c r="E20" s="3" t="s">
        <v>71</v>
      </c>
      <c r="F20" s="3" t="s">
        <v>66</v>
      </c>
      <c r="G20" s="3" t="s">
        <v>14</v>
      </c>
      <c r="H20" s="3"/>
      <c r="I20" s="3"/>
      <c r="J20" s="3" t="s">
        <v>16</v>
      </c>
      <c r="K20" s="3" t="s">
        <v>72</v>
      </c>
    </row>
    <row r="21" customFormat="false" ht="15" hidden="false" customHeight="false" outlineLevel="0" collapsed="false">
      <c r="A21" s="3" t="s">
        <v>73</v>
      </c>
      <c r="B21" s="3" t="s">
        <v>30</v>
      </c>
      <c r="C21" s="3" t="s">
        <v>43</v>
      </c>
      <c r="D21" s="3" t="s">
        <v>60</v>
      </c>
      <c r="E21" s="3" t="s">
        <v>74</v>
      </c>
      <c r="F21" s="3" t="s">
        <v>44</v>
      </c>
      <c r="G21" s="3" t="s">
        <v>14</v>
      </c>
      <c r="H21" s="3"/>
      <c r="I21" s="3"/>
      <c r="J21" s="3" t="s">
        <v>21</v>
      </c>
      <c r="K21" s="3" t="s">
        <v>67</v>
      </c>
    </row>
    <row r="22" customFormat="false" ht="15" hidden="false" customHeight="false" outlineLevel="0" collapsed="false">
      <c r="A22" s="3" t="s">
        <v>75</v>
      </c>
      <c r="B22" s="3" t="s">
        <v>30</v>
      </c>
      <c r="C22" s="3" t="s">
        <v>43</v>
      </c>
      <c r="D22" s="3" t="s">
        <v>60</v>
      </c>
      <c r="E22" s="3" t="s">
        <v>76</v>
      </c>
      <c r="F22" s="3" t="s">
        <v>66</v>
      </c>
      <c r="G22" s="3" t="s">
        <v>14</v>
      </c>
      <c r="H22" s="3"/>
      <c r="I22" s="3"/>
      <c r="J22" s="3" t="s">
        <v>21</v>
      </c>
      <c r="K22" s="3" t="s">
        <v>77</v>
      </c>
    </row>
    <row r="23" customFormat="false" ht="23.85" hidden="false" customHeight="false" outlineLevel="0" collapsed="false">
      <c r="A23" s="3" t="s">
        <v>78</v>
      </c>
      <c r="B23" s="3" t="s">
        <v>30</v>
      </c>
      <c r="C23" s="3" t="s">
        <v>43</v>
      </c>
      <c r="D23" s="3" t="s">
        <v>63</v>
      </c>
      <c r="E23" s="3" t="s">
        <v>79</v>
      </c>
      <c r="F23" s="3" t="s">
        <v>44</v>
      </c>
      <c r="G23" s="3" t="s">
        <v>14</v>
      </c>
      <c r="H23" s="3"/>
      <c r="I23" s="3"/>
      <c r="J23" s="3" t="s">
        <v>16</v>
      </c>
      <c r="K23" s="3" t="s">
        <v>80</v>
      </c>
    </row>
    <row r="24" customFormat="false" ht="57.45" hidden="false" customHeight="false" outlineLevel="0" collapsed="false">
      <c r="A24" s="3" t="s">
        <v>81</v>
      </c>
      <c r="B24" s="3" t="s">
        <v>30</v>
      </c>
      <c r="C24" s="3" t="s">
        <v>43</v>
      </c>
      <c r="D24" s="3" t="s">
        <v>63</v>
      </c>
      <c r="E24" s="3" t="s">
        <v>82</v>
      </c>
      <c r="F24" s="3" t="s">
        <v>66</v>
      </c>
      <c r="G24" s="3" t="s">
        <v>14</v>
      </c>
      <c r="H24" s="3"/>
      <c r="I24" s="3"/>
      <c r="J24" s="3" t="s">
        <v>16</v>
      </c>
      <c r="K24" s="3" t="s">
        <v>83</v>
      </c>
    </row>
    <row r="25" customFormat="false" ht="15" hidden="false" customHeight="false" outlineLevel="0" collapsed="false">
      <c r="A25" s="3" t="s">
        <v>84</v>
      </c>
      <c r="B25" s="3" t="s">
        <v>30</v>
      </c>
      <c r="C25" s="3" t="s">
        <v>43</v>
      </c>
      <c r="D25" s="3" t="s">
        <v>52</v>
      </c>
      <c r="E25" s="3" t="s">
        <v>85</v>
      </c>
      <c r="F25" s="3" t="s">
        <v>35</v>
      </c>
      <c r="G25" s="3" t="s">
        <v>14</v>
      </c>
      <c r="H25" s="3"/>
      <c r="I25" s="3"/>
      <c r="J25" s="3" t="s">
        <v>16</v>
      </c>
      <c r="K25" s="3"/>
    </row>
    <row r="26" customFormat="false" ht="15" hidden="false" customHeight="false" outlineLevel="0" collapsed="false">
      <c r="A26" s="2" t="s">
        <v>86</v>
      </c>
      <c r="B26" s="2" t="s">
        <v>2</v>
      </c>
      <c r="C26" s="2" t="s">
        <v>87</v>
      </c>
      <c r="D26" s="2"/>
      <c r="E26" s="2" t="s">
        <v>87</v>
      </c>
      <c r="F26" s="2" t="s">
        <v>66</v>
      </c>
      <c r="G26" s="2" t="s">
        <v>14</v>
      </c>
      <c r="H26" s="2"/>
      <c r="I26" s="2" t="s">
        <v>88</v>
      </c>
      <c r="J26" s="2" t="s">
        <v>16</v>
      </c>
      <c r="K26" s="2"/>
    </row>
    <row r="27" customFormat="false" ht="15" hidden="false" customHeight="false" outlineLevel="0" collapsed="false">
      <c r="A27" s="3" t="s">
        <v>89</v>
      </c>
      <c r="B27" s="3" t="s">
        <v>19</v>
      </c>
      <c r="C27" s="3" t="s">
        <v>87</v>
      </c>
      <c r="D27" s="3"/>
      <c r="E27" s="3" t="s">
        <v>82</v>
      </c>
      <c r="F27" s="3" t="s">
        <v>66</v>
      </c>
      <c r="G27" s="3" t="s">
        <v>14</v>
      </c>
      <c r="H27" s="3"/>
      <c r="I27" s="3" t="s">
        <v>21</v>
      </c>
      <c r="J27" s="3" t="s">
        <v>16</v>
      </c>
      <c r="K27" s="3" t="s">
        <v>90</v>
      </c>
    </row>
    <row r="28" customFormat="false" ht="15" hidden="false" customHeight="false" outlineLevel="0" collapsed="false">
      <c r="A28" s="3" t="s">
        <v>91</v>
      </c>
      <c r="B28" s="3" t="s">
        <v>19</v>
      </c>
      <c r="C28" s="3" t="s">
        <v>87</v>
      </c>
      <c r="D28" s="3"/>
      <c r="E28" s="3" t="s">
        <v>92</v>
      </c>
      <c r="F28" s="3" t="s">
        <v>13</v>
      </c>
      <c r="G28" s="3" t="s">
        <v>14</v>
      </c>
      <c r="H28" s="3"/>
      <c r="I28" s="3" t="s">
        <v>88</v>
      </c>
      <c r="J28" s="3" t="s">
        <v>16</v>
      </c>
      <c r="K28" s="3"/>
    </row>
    <row r="29" customFormat="false" ht="15" hidden="false" customHeight="false" outlineLevel="0" collapsed="false">
      <c r="A29" s="3" t="s">
        <v>93</v>
      </c>
      <c r="B29" s="3" t="s">
        <v>30</v>
      </c>
      <c r="C29" s="3" t="s">
        <v>87</v>
      </c>
      <c r="D29" s="3" t="s">
        <v>82</v>
      </c>
      <c r="E29" s="3" t="s">
        <v>94</v>
      </c>
      <c r="F29" s="3" t="s">
        <v>66</v>
      </c>
      <c r="G29" s="3" t="s">
        <v>14</v>
      </c>
      <c r="H29" s="3"/>
      <c r="I29" s="3"/>
      <c r="J29" s="3" t="s">
        <v>16</v>
      </c>
      <c r="K29" s="3" t="s">
        <v>95</v>
      </c>
    </row>
    <row r="30" customFormat="false" ht="15" hidden="false" customHeight="false" outlineLevel="0" collapsed="false">
      <c r="A30" s="3" t="s">
        <v>96</v>
      </c>
      <c r="B30" s="3" t="s">
        <v>30</v>
      </c>
      <c r="C30" s="3" t="s">
        <v>87</v>
      </c>
      <c r="D30" s="3" t="s">
        <v>82</v>
      </c>
      <c r="E30" s="3" t="s">
        <v>97</v>
      </c>
      <c r="F30" s="3" t="s">
        <v>66</v>
      </c>
      <c r="G30" s="3" t="s">
        <v>14</v>
      </c>
      <c r="H30" s="3"/>
      <c r="I30" s="3"/>
      <c r="J30" s="3" t="s">
        <v>16</v>
      </c>
      <c r="K30" s="3" t="s">
        <v>98</v>
      </c>
    </row>
    <row r="31" customFormat="false" ht="15" hidden="false" customHeight="false" outlineLevel="0" collapsed="false">
      <c r="A31" s="3" t="s">
        <v>99</v>
      </c>
      <c r="B31" s="3" t="s">
        <v>30</v>
      </c>
      <c r="C31" s="3" t="s">
        <v>87</v>
      </c>
      <c r="D31" s="3" t="s">
        <v>82</v>
      </c>
      <c r="E31" s="3" t="s">
        <v>100</v>
      </c>
      <c r="F31" s="3" t="s">
        <v>66</v>
      </c>
      <c r="G31" s="3" t="s">
        <v>14</v>
      </c>
      <c r="H31" s="3"/>
      <c r="I31" s="3"/>
      <c r="J31" s="3" t="s">
        <v>16</v>
      </c>
      <c r="K31" s="3" t="s">
        <v>101</v>
      </c>
    </row>
    <row r="32" customFormat="false" ht="15" hidden="false" customHeight="false" outlineLevel="0" collapsed="false">
      <c r="A32" s="3" t="s">
        <v>102</v>
      </c>
      <c r="B32" s="3" t="s">
        <v>30</v>
      </c>
      <c r="C32" s="3" t="s">
        <v>87</v>
      </c>
      <c r="D32" s="3" t="s">
        <v>82</v>
      </c>
      <c r="E32" s="3" t="s">
        <v>103</v>
      </c>
      <c r="F32" s="3" t="s">
        <v>35</v>
      </c>
      <c r="G32" s="3" t="s">
        <v>14</v>
      </c>
      <c r="H32" s="3"/>
      <c r="I32" s="3"/>
      <c r="J32" s="3" t="s">
        <v>16</v>
      </c>
      <c r="K32" s="3" t="s">
        <v>72</v>
      </c>
    </row>
    <row r="33" customFormat="false" ht="15" hidden="false" customHeight="false" outlineLevel="0" collapsed="false">
      <c r="A33" s="3" t="s">
        <v>104</v>
      </c>
      <c r="B33" s="3" t="s">
        <v>30</v>
      </c>
      <c r="C33" s="3" t="s">
        <v>87</v>
      </c>
      <c r="D33" s="3" t="s">
        <v>92</v>
      </c>
      <c r="E33" s="3" t="s">
        <v>103</v>
      </c>
      <c r="F33" s="3" t="s">
        <v>13</v>
      </c>
      <c r="G33" s="3" t="s">
        <v>14</v>
      </c>
      <c r="H33" s="3"/>
      <c r="I33" s="3"/>
      <c r="J33" s="3" t="s">
        <v>16</v>
      </c>
      <c r="K33" s="3" t="s">
        <v>67</v>
      </c>
    </row>
    <row r="34" customFormat="false" ht="15" hidden="false" customHeight="false" outlineLevel="0" collapsed="false">
      <c r="A34" s="3" t="s">
        <v>105</v>
      </c>
      <c r="B34" s="3" t="s">
        <v>30</v>
      </c>
      <c r="C34" s="3" t="s">
        <v>87</v>
      </c>
      <c r="D34" s="3" t="s">
        <v>92</v>
      </c>
      <c r="E34" s="3" t="s">
        <v>100</v>
      </c>
      <c r="F34" s="3" t="s">
        <v>13</v>
      </c>
      <c r="G34" s="3" t="s">
        <v>14</v>
      </c>
      <c r="H34" s="3"/>
      <c r="I34" s="3"/>
      <c r="J34" s="3" t="s">
        <v>16</v>
      </c>
      <c r="K34" s="3" t="s">
        <v>67</v>
      </c>
    </row>
    <row r="35" customFormat="false" ht="15" hidden="false" customHeight="false" outlineLevel="0" collapsed="false">
      <c r="A35" s="3" t="s">
        <v>106</v>
      </c>
      <c r="B35" s="3" t="s">
        <v>30</v>
      </c>
      <c r="C35" s="3" t="s">
        <v>87</v>
      </c>
      <c r="D35" s="3" t="s">
        <v>92</v>
      </c>
      <c r="E35" s="3" t="s">
        <v>97</v>
      </c>
      <c r="F35" s="3" t="s">
        <v>13</v>
      </c>
      <c r="G35" s="3" t="s">
        <v>14</v>
      </c>
      <c r="H35" s="3"/>
      <c r="I35" s="3"/>
      <c r="J35" s="3" t="s">
        <v>16</v>
      </c>
      <c r="K35" s="3" t="s">
        <v>50</v>
      </c>
    </row>
    <row r="36" customFormat="false" ht="15" hidden="false" customHeight="false" outlineLevel="0" collapsed="false">
      <c r="A36" s="3" t="s">
        <v>107</v>
      </c>
      <c r="B36" s="3" t="s">
        <v>30</v>
      </c>
      <c r="C36" s="3" t="s">
        <v>87</v>
      </c>
      <c r="D36" s="3" t="s">
        <v>92</v>
      </c>
      <c r="E36" s="3" t="s">
        <v>94</v>
      </c>
      <c r="F36" s="3" t="s">
        <v>13</v>
      </c>
      <c r="G36" s="3" t="s">
        <v>14</v>
      </c>
      <c r="H36" s="3"/>
      <c r="I36" s="3"/>
      <c r="J36" s="3" t="s">
        <v>16</v>
      </c>
      <c r="K36" s="3" t="s">
        <v>95</v>
      </c>
    </row>
    <row r="37" customFormat="false" ht="23.85" hidden="false" customHeight="false" outlineLevel="0" collapsed="false">
      <c r="A37" s="3" t="s">
        <v>108</v>
      </c>
      <c r="B37" s="3" t="s">
        <v>30</v>
      </c>
      <c r="C37" s="3" t="s">
        <v>87</v>
      </c>
      <c r="D37" s="3" t="s">
        <v>82</v>
      </c>
      <c r="E37" s="3" t="s">
        <v>109</v>
      </c>
      <c r="F37" s="3" t="s">
        <v>35</v>
      </c>
      <c r="G37" s="3" t="s">
        <v>14</v>
      </c>
      <c r="H37" s="3"/>
      <c r="I37" s="3"/>
      <c r="J37" s="3" t="s">
        <v>16</v>
      </c>
      <c r="K37" s="3"/>
    </row>
    <row r="38" customFormat="false" ht="23.85" hidden="false" customHeight="false" outlineLevel="0" collapsed="false">
      <c r="A38" s="3" t="s">
        <v>110</v>
      </c>
      <c r="B38" s="3" t="s">
        <v>30</v>
      </c>
      <c r="C38" s="3" t="s">
        <v>87</v>
      </c>
      <c r="D38" s="3" t="s">
        <v>92</v>
      </c>
      <c r="E38" s="3" t="s">
        <v>109</v>
      </c>
      <c r="F38" s="3" t="s">
        <v>44</v>
      </c>
      <c r="G38" s="3" t="s">
        <v>14</v>
      </c>
      <c r="H38" s="3"/>
      <c r="I38" s="3"/>
      <c r="J38" s="3" t="s">
        <v>16</v>
      </c>
      <c r="K38" s="3"/>
    </row>
    <row r="39" customFormat="false" ht="15" hidden="false" customHeight="false" outlineLevel="0" collapsed="false">
      <c r="A39" s="3" t="s">
        <v>111</v>
      </c>
      <c r="B39" s="3" t="s">
        <v>30</v>
      </c>
      <c r="C39" s="3" t="s">
        <v>87</v>
      </c>
      <c r="D39" s="3" t="s">
        <v>92</v>
      </c>
      <c r="E39" s="3" t="s">
        <v>112</v>
      </c>
      <c r="F39" s="3" t="s">
        <v>44</v>
      </c>
      <c r="G39" s="3" t="s">
        <v>14</v>
      </c>
      <c r="H39" s="3"/>
      <c r="I39" s="3"/>
      <c r="J39" s="3" t="s">
        <v>16</v>
      </c>
      <c r="K39" s="3"/>
    </row>
    <row r="40" customFormat="false" ht="15" hidden="false" customHeight="false" outlineLevel="0" collapsed="false">
      <c r="A40" s="3" t="s">
        <v>113</v>
      </c>
      <c r="B40" s="3" t="s">
        <v>30</v>
      </c>
      <c r="C40" s="3" t="s">
        <v>87</v>
      </c>
      <c r="D40" s="3" t="s">
        <v>82</v>
      </c>
      <c r="E40" s="3" t="s">
        <v>112</v>
      </c>
      <c r="F40" s="3" t="s">
        <v>28</v>
      </c>
      <c r="G40" s="3" t="s">
        <v>14</v>
      </c>
      <c r="H40" s="3"/>
      <c r="I40" s="3"/>
      <c r="J40" s="3" t="s">
        <v>16</v>
      </c>
      <c r="K40" s="3"/>
    </row>
    <row r="41" customFormat="false" ht="15" hidden="false" customHeight="false" outlineLevel="0" collapsed="false">
      <c r="A41" s="2" t="s">
        <v>114</v>
      </c>
      <c r="B41" s="2" t="s">
        <v>2</v>
      </c>
      <c r="C41" s="2" t="s">
        <v>115</v>
      </c>
      <c r="D41" s="2"/>
      <c r="E41" s="2" t="s">
        <v>115</v>
      </c>
      <c r="F41" s="2" t="s">
        <v>28</v>
      </c>
      <c r="G41" s="2" t="s">
        <v>116</v>
      </c>
      <c r="H41" s="2"/>
      <c r="I41" s="2"/>
      <c r="J41" s="2"/>
      <c r="K41" s="2"/>
    </row>
    <row r="42" customFormat="false" ht="15" hidden="false" customHeight="false" outlineLevel="0" collapsed="false">
      <c r="A42" s="3" t="s">
        <v>117</v>
      </c>
      <c r="B42" s="3" t="s">
        <v>19</v>
      </c>
      <c r="C42" s="3" t="s">
        <v>115</v>
      </c>
      <c r="D42" s="3"/>
      <c r="E42" s="3" t="s">
        <v>82</v>
      </c>
      <c r="F42" s="3" t="s">
        <v>28</v>
      </c>
      <c r="G42" s="3" t="s">
        <v>116</v>
      </c>
      <c r="H42" s="3"/>
      <c r="I42" s="3"/>
      <c r="J42" s="3"/>
      <c r="K42" s="3"/>
    </row>
    <row r="43" customFormat="false" ht="15" hidden="false" customHeight="false" outlineLevel="0" collapsed="false">
      <c r="A43" s="3" t="s">
        <v>118</v>
      </c>
      <c r="B43" s="3" t="s">
        <v>19</v>
      </c>
      <c r="C43" s="3" t="s">
        <v>115</v>
      </c>
      <c r="D43" s="3"/>
      <c r="E43" s="3" t="s">
        <v>92</v>
      </c>
      <c r="F43" s="3" t="s">
        <v>44</v>
      </c>
      <c r="G43" s="3" t="s">
        <v>116</v>
      </c>
      <c r="H43" s="3"/>
      <c r="I43" s="3"/>
      <c r="J43" s="3"/>
      <c r="K43" s="3"/>
    </row>
    <row r="44" customFormat="false" ht="15" hidden="false" customHeight="false" outlineLevel="0" collapsed="false">
      <c r="A44" s="3" t="s">
        <v>119</v>
      </c>
      <c r="B44" s="3" t="s">
        <v>30</v>
      </c>
      <c r="C44" s="3" t="s">
        <v>115</v>
      </c>
      <c r="D44" s="3" t="s">
        <v>82</v>
      </c>
      <c r="E44" s="3" t="s">
        <v>120</v>
      </c>
      <c r="F44" s="3" t="s">
        <v>66</v>
      </c>
      <c r="G44" s="3" t="s">
        <v>116</v>
      </c>
      <c r="H44" s="3"/>
      <c r="I44" s="3"/>
      <c r="J44" s="3"/>
      <c r="K44" s="3"/>
    </row>
    <row r="45" customFormat="false" ht="15" hidden="false" customHeight="false" outlineLevel="0" collapsed="false">
      <c r="A45" s="3" t="s">
        <v>121</v>
      </c>
      <c r="B45" s="3" t="s">
        <v>30</v>
      </c>
      <c r="C45" s="3" t="s">
        <v>115</v>
      </c>
      <c r="D45" s="3" t="s">
        <v>82</v>
      </c>
      <c r="E45" s="3" t="s">
        <v>122</v>
      </c>
      <c r="F45" s="3" t="s">
        <v>66</v>
      </c>
      <c r="G45" s="3" t="s">
        <v>116</v>
      </c>
      <c r="H45" s="3"/>
      <c r="I45" s="3"/>
      <c r="J45" s="3"/>
      <c r="K45" s="3"/>
    </row>
    <row r="46" customFormat="false" ht="23.85" hidden="false" customHeight="false" outlineLevel="0" collapsed="false">
      <c r="A46" s="3" t="s">
        <v>123</v>
      </c>
      <c r="B46" s="3" t="s">
        <v>30</v>
      </c>
      <c r="C46" s="3" t="s">
        <v>115</v>
      </c>
      <c r="D46" s="3" t="s">
        <v>82</v>
      </c>
      <c r="E46" s="3" t="s">
        <v>124</v>
      </c>
      <c r="F46" s="3" t="s">
        <v>28</v>
      </c>
      <c r="G46" s="3" t="s">
        <v>116</v>
      </c>
      <c r="H46" s="3"/>
      <c r="I46" s="3"/>
      <c r="J46" s="3"/>
      <c r="K46" s="3"/>
    </row>
    <row r="47" customFormat="false" ht="15" hidden="false" customHeight="false" outlineLevel="0" collapsed="false">
      <c r="A47" s="3" t="s">
        <v>125</v>
      </c>
      <c r="B47" s="3" t="s">
        <v>30</v>
      </c>
      <c r="C47" s="3" t="s">
        <v>115</v>
      </c>
      <c r="D47" s="3" t="s">
        <v>82</v>
      </c>
      <c r="E47" s="3" t="s">
        <v>126</v>
      </c>
      <c r="F47" s="3" t="s">
        <v>28</v>
      </c>
      <c r="G47" s="3" t="s">
        <v>116</v>
      </c>
      <c r="H47" s="3"/>
      <c r="I47" s="3"/>
      <c r="J47" s="3"/>
      <c r="K47" s="3"/>
    </row>
    <row r="48" customFormat="false" ht="15" hidden="false" customHeight="false" outlineLevel="0" collapsed="false">
      <c r="A48" s="3" t="s">
        <v>127</v>
      </c>
      <c r="B48" s="3" t="s">
        <v>30</v>
      </c>
      <c r="C48" s="3" t="s">
        <v>115</v>
      </c>
      <c r="D48" s="3" t="s">
        <v>92</v>
      </c>
      <c r="E48" s="3" t="s">
        <v>120</v>
      </c>
      <c r="F48" s="3" t="s">
        <v>13</v>
      </c>
      <c r="G48" s="3" t="s">
        <v>116</v>
      </c>
      <c r="H48" s="3"/>
      <c r="I48" s="3"/>
      <c r="J48" s="3"/>
      <c r="K48" s="3"/>
    </row>
    <row r="49" customFormat="false" ht="15" hidden="false" customHeight="false" outlineLevel="0" collapsed="false">
      <c r="A49" s="3" t="s">
        <v>128</v>
      </c>
      <c r="B49" s="3" t="s">
        <v>30</v>
      </c>
      <c r="C49" s="3" t="s">
        <v>115</v>
      </c>
      <c r="D49" s="3" t="s">
        <v>92</v>
      </c>
      <c r="E49" s="3" t="s">
        <v>122</v>
      </c>
      <c r="F49" s="3" t="s">
        <v>13</v>
      </c>
      <c r="G49" s="3" t="s">
        <v>116</v>
      </c>
      <c r="H49" s="3"/>
      <c r="I49" s="3"/>
      <c r="J49" s="3"/>
      <c r="K49" s="3"/>
    </row>
    <row r="50" customFormat="false" ht="23.85" hidden="false" customHeight="false" outlineLevel="0" collapsed="false">
      <c r="A50" s="3" t="s">
        <v>129</v>
      </c>
      <c r="B50" s="3" t="s">
        <v>30</v>
      </c>
      <c r="C50" s="3" t="s">
        <v>115</v>
      </c>
      <c r="D50" s="3" t="s">
        <v>92</v>
      </c>
      <c r="E50" s="3" t="s">
        <v>130</v>
      </c>
      <c r="F50" s="3" t="s">
        <v>44</v>
      </c>
      <c r="G50" s="3" t="s">
        <v>116</v>
      </c>
      <c r="H50" s="3"/>
      <c r="I50" s="3"/>
      <c r="J50" s="3"/>
      <c r="K50" s="3"/>
    </row>
    <row r="51" customFormat="false" ht="15" hidden="false" customHeight="false" outlineLevel="0" collapsed="false">
      <c r="A51" s="3" t="s">
        <v>131</v>
      </c>
      <c r="B51" s="3" t="s">
        <v>30</v>
      </c>
      <c r="C51" s="3" t="s">
        <v>115</v>
      </c>
      <c r="D51" s="3" t="s">
        <v>92</v>
      </c>
      <c r="E51" s="3" t="s">
        <v>126</v>
      </c>
      <c r="F51" s="3" t="s">
        <v>44</v>
      </c>
      <c r="G51" s="3" t="s">
        <v>116</v>
      </c>
      <c r="H51" s="3"/>
      <c r="I51" s="3"/>
      <c r="J51" s="3"/>
      <c r="K51" s="3"/>
    </row>
    <row r="52" customFormat="false" ht="15" hidden="false" customHeight="false" outlineLevel="0" collapsed="false">
      <c r="A52" s="2" t="s">
        <v>132</v>
      </c>
      <c r="B52" s="2" t="s">
        <v>2</v>
      </c>
      <c r="C52" s="2" t="s">
        <v>133</v>
      </c>
      <c r="D52" s="2"/>
      <c r="E52" s="2" t="s">
        <v>133</v>
      </c>
      <c r="F52" s="2" t="s">
        <v>35</v>
      </c>
      <c r="G52" s="2" t="s">
        <v>116</v>
      </c>
      <c r="H52" s="2"/>
      <c r="I52" s="2"/>
      <c r="J52" s="2"/>
      <c r="K52" s="2"/>
    </row>
    <row r="53" customFormat="false" ht="15" hidden="false" customHeight="false" outlineLevel="0" collapsed="false">
      <c r="A53" s="3" t="s">
        <v>134</v>
      </c>
      <c r="B53" s="3" t="s">
        <v>19</v>
      </c>
      <c r="C53" s="3" t="s">
        <v>133</v>
      </c>
      <c r="D53" s="3"/>
      <c r="E53" s="3" t="s">
        <v>135</v>
      </c>
      <c r="F53" s="3" t="s">
        <v>66</v>
      </c>
      <c r="G53" s="3" t="s">
        <v>116</v>
      </c>
      <c r="H53" s="3"/>
      <c r="I53" s="3"/>
      <c r="J53" s="3"/>
      <c r="K53" s="3"/>
    </row>
    <row r="54" customFormat="false" ht="15" hidden="false" customHeight="false" outlineLevel="0" collapsed="false">
      <c r="A54" s="3" t="s">
        <v>136</v>
      </c>
      <c r="B54" s="3" t="s">
        <v>19</v>
      </c>
      <c r="C54" s="3" t="s">
        <v>133</v>
      </c>
      <c r="D54" s="3"/>
      <c r="E54" s="3" t="s">
        <v>137</v>
      </c>
      <c r="F54" s="3" t="s">
        <v>44</v>
      </c>
      <c r="G54" s="3" t="s">
        <v>116</v>
      </c>
      <c r="H54" s="3"/>
      <c r="I54" s="3"/>
      <c r="J54" s="3"/>
      <c r="K54" s="3"/>
    </row>
    <row r="55" customFormat="false" ht="15" hidden="false" customHeight="false" outlineLevel="0" collapsed="false">
      <c r="A55" s="3" t="s">
        <v>138</v>
      </c>
      <c r="B55" s="3" t="s">
        <v>19</v>
      </c>
      <c r="C55" s="3" t="s">
        <v>133</v>
      </c>
      <c r="D55" s="3"/>
      <c r="E55" s="3" t="s">
        <v>139</v>
      </c>
      <c r="F55" s="3" t="s">
        <v>44</v>
      </c>
      <c r="G55" s="3" t="s">
        <v>116</v>
      </c>
      <c r="H55" s="3"/>
      <c r="I55" s="3"/>
      <c r="J55" s="3"/>
      <c r="K55" s="3"/>
    </row>
    <row r="56" customFormat="false" ht="15" hidden="false" customHeight="false" outlineLevel="0" collapsed="false">
      <c r="A56" s="3" t="s">
        <v>140</v>
      </c>
      <c r="B56" s="3" t="s">
        <v>19</v>
      </c>
      <c r="C56" s="3" t="s">
        <v>133</v>
      </c>
      <c r="D56" s="3"/>
      <c r="E56" s="3" t="s">
        <v>141</v>
      </c>
      <c r="F56" s="3" t="s">
        <v>66</v>
      </c>
      <c r="G56" s="3" t="s">
        <v>116</v>
      </c>
      <c r="H56" s="3"/>
      <c r="I56" s="3"/>
      <c r="J56" s="3"/>
      <c r="K56" s="3"/>
    </row>
    <row r="57" customFormat="false" ht="23.85" hidden="false" customHeight="false" outlineLevel="0" collapsed="false">
      <c r="A57" s="3" t="s">
        <v>142</v>
      </c>
      <c r="B57" s="3" t="s">
        <v>19</v>
      </c>
      <c r="C57" s="3" t="s">
        <v>133</v>
      </c>
      <c r="D57" s="3"/>
      <c r="E57" s="3" t="s">
        <v>143</v>
      </c>
      <c r="F57" s="3" t="s">
        <v>28</v>
      </c>
      <c r="G57" s="3" t="s">
        <v>116</v>
      </c>
      <c r="H57" s="3"/>
      <c r="I57" s="3"/>
      <c r="J57" s="3"/>
      <c r="K57" s="3"/>
    </row>
    <row r="58" customFormat="false" ht="15" hidden="false" customHeight="false" outlineLevel="0" collapsed="false">
      <c r="A58" s="2" t="s">
        <v>144</v>
      </c>
      <c r="B58" s="2" t="s">
        <v>2</v>
      </c>
      <c r="C58" s="2" t="s">
        <v>145</v>
      </c>
      <c r="D58" s="2"/>
      <c r="E58" s="2" t="s">
        <v>145</v>
      </c>
      <c r="F58" s="2" t="s">
        <v>35</v>
      </c>
      <c r="G58" s="2" t="s">
        <v>116</v>
      </c>
      <c r="H58" s="2"/>
      <c r="I58" s="2"/>
      <c r="J58" s="2"/>
      <c r="K58" s="2"/>
    </row>
    <row r="59" customFormat="false" ht="15" hidden="false" customHeight="false" outlineLevel="0" collapsed="false">
      <c r="A59" s="3" t="s">
        <v>146</v>
      </c>
      <c r="B59" s="3" t="s">
        <v>19</v>
      </c>
      <c r="C59" s="3" t="s">
        <v>145</v>
      </c>
      <c r="D59" s="3"/>
      <c r="E59" s="3" t="s">
        <v>147</v>
      </c>
      <c r="F59" s="3" t="s">
        <v>35</v>
      </c>
      <c r="G59" s="3" t="s">
        <v>14</v>
      </c>
      <c r="H59" s="3"/>
      <c r="I59" s="3"/>
      <c r="J59" s="3" t="s">
        <v>16</v>
      </c>
      <c r="K59" s="3"/>
    </row>
    <row r="60" customFormat="false" ht="15" hidden="false" customHeight="false" outlineLevel="0" collapsed="false">
      <c r="A60" s="3" t="s">
        <v>148</v>
      </c>
      <c r="B60" s="3" t="s">
        <v>19</v>
      </c>
      <c r="C60" s="3" t="s">
        <v>145</v>
      </c>
      <c r="D60" s="3"/>
      <c r="E60" s="3" t="s">
        <v>149</v>
      </c>
      <c r="F60" s="3" t="s">
        <v>35</v>
      </c>
      <c r="G60" s="3" t="s">
        <v>14</v>
      </c>
      <c r="H60" s="3"/>
      <c r="I60" s="3"/>
      <c r="J60" s="3" t="s">
        <v>16</v>
      </c>
      <c r="K60" s="3"/>
    </row>
    <row r="61" customFormat="false" ht="23.85" hidden="false" customHeight="false" outlineLevel="0" collapsed="false">
      <c r="A61" s="3" t="s">
        <v>150</v>
      </c>
      <c r="B61" s="3" t="s">
        <v>19</v>
      </c>
      <c r="C61" s="3" t="s">
        <v>145</v>
      </c>
      <c r="D61" s="3"/>
      <c r="E61" s="3" t="s">
        <v>151</v>
      </c>
      <c r="F61" s="3" t="s">
        <v>35</v>
      </c>
      <c r="G61" s="3" t="s">
        <v>14</v>
      </c>
      <c r="H61" s="3"/>
      <c r="I61" s="3"/>
      <c r="J61" s="3" t="s">
        <v>16</v>
      </c>
      <c r="K61" s="3"/>
    </row>
    <row r="62" customFormat="false" ht="23.85" hidden="false" customHeight="false" outlineLevel="0" collapsed="false">
      <c r="A62" s="3" t="s">
        <v>152</v>
      </c>
      <c r="B62" s="3" t="s">
        <v>19</v>
      </c>
      <c r="C62" s="3" t="s">
        <v>145</v>
      </c>
      <c r="D62" s="3"/>
      <c r="E62" s="3" t="s">
        <v>153</v>
      </c>
      <c r="F62" s="3" t="s">
        <v>35</v>
      </c>
      <c r="G62" s="3" t="s">
        <v>14</v>
      </c>
      <c r="H62" s="3"/>
      <c r="I62" s="3"/>
      <c r="J62" s="3" t="s">
        <v>16</v>
      </c>
      <c r="K62" s="3"/>
    </row>
    <row r="63" customFormat="false" ht="15" hidden="false" customHeight="false" outlineLevel="0" collapsed="false">
      <c r="A63" s="3" t="s">
        <v>154</v>
      </c>
      <c r="B63" s="3" t="s">
        <v>19</v>
      </c>
      <c r="C63" s="3" t="s">
        <v>145</v>
      </c>
      <c r="D63" s="3"/>
      <c r="E63" s="3" t="s">
        <v>155</v>
      </c>
      <c r="F63" s="3" t="s">
        <v>66</v>
      </c>
      <c r="G63" s="3" t="s">
        <v>116</v>
      </c>
      <c r="H63" s="3"/>
      <c r="I63" s="3"/>
      <c r="J63" s="3"/>
      <c r="K63" s="3"/>
    </row>
    <row r="64" customFormat="false" ht="15" hidden="false" customHeight="false" outlineLevel="0" collapsed="false">
      <c r="A64" s="2" t="s">
        <v>156</v>
      </c>
      <c r="B64" s="2" t="s">
        <v>2</v>
      </c>
      <c r="C64" s="2" t="s">
        <v>157</v>
      </c>
      <c r="D64" s="2"/>
      <c r="E64" s="2" t="s">
        <v>157</v>
      </c>
      <c r="F64" s="2" t="s">
        <v>13</v>
      </c>
      <c r="G64" s="2" t="s">
        <v>158</v>
      </c>
      <c r="H64" s="2" t="s">
        <v>45</v>
      </c>
      <c r="I64" s="2" t="s">
        <v>16</v>
      </c>
      <c r="J64" s="2"/>
      <c r="K64" s="2"/>
    </row>
    <row r="65" customFormat="false" ht="15" hidden="false" customHeight="false" outlineLevel="0" collapsed="false">
      <c r="A65" s="3" t="s">
        <v>159</v>
      </c>
      <c r="B65" s="3" t="s">
        <v>19</v>
      </c>
      <c r="C65" s="3" t="s">
        <v>157</v>
      </c>
      <c r="D65" s="3"/>
      <c r="E65" s="3" t="s">
        <v>82</v>
      </c>
      <c r="F65" s="3" t="s">
        <v>28</v>
      </c>
      <c r="G65" s="3" t="s">
        <v>158</v>
      </c>
      <c r="H65" s="3"/>
      <c r="I65" s="3" t="s">
        <v>16</v>
      </c>
      <c r="J65" s="3"/>
      <c r="K65" s="3"/>
    </row>
    <row r="66" customFormat="false" ht="15" hidden="false" customHeight="false" outlineLevel="0" collapsed="false">
      <c r="A66" s="3" t="s">
        <v>160</v>
      </c>
      <c r="B66" s="3" t="s">
        <v>19</v>
      </c>
      <c r="C66" s="3" t="s">
        <v>157</v>
      </c>
      <c r="D66" s="3"/>
      <c r="E66" s="3" t="s">
        <v>92</v>
      </c>
      <c r="F66" s="3" t="s">
        <v>44</v>
      </c>
      <c r="G66" s="3" t="s">
        <v>158</v>
      </c>
      <c r="H66" s="3"/>
      <c r="I66" s="3" t="s">
        <v>16</v>
      </c>
      <c r="J66" s="3"/>
      <c r="K66" s="3"/>
    </row>
    <row r="67" customFormat="false" ht="15" hidden="false" customHeight="false" outlineLevel="0" collapsed="false">
      <c r="A67" s="3" t="s">
        <v>161</v>
      </c>
      <c r="B67" s="3" t="s">
        <v>19</v>
      </c>
      <c r="C67" s="3" t="s">
        <v>157</v>
      </c>
      <c r="D67" s="3"/>
      <c r="E67" s="3" t="s">
        <v>162</v>
      </c>
      <c r="F67" s="3" t="s">
        <v>28</v>
      </c>
      <c r="G67" s="3" t="s">
        <v>14</v>
      </c>
      <c r="H67" s="3"/>
      <c r="I67" s="3" t="s">
        <v>163</v>
      </c>
      <c r="J67" s="3" t="s">
        <v>16</v>
      </c>
      <c r="K67" s="3"/>
    </row>
    <row r="68" customFormat="false" ht="15" hidden="false" customHeight="false" outlineLevel="0" collapsed="false">
      <c r="A68" s="3" t="s">
        <v>164</v>
      </c>
      <c r="B68" s="3" t="s">
        <v>19</v>
      </c>
      <c r="C68" s="3" t="s">
        <v>157</v>
      </c>
      <c r="D68" s="3"/>
      <c r="E68" s="3" t="s">
        <v>165</v>
      </c>
      <c r="F68" s="3" t="s">
        <v>13</v>
      </c>
      <c r="G68" s="3" t="s">
        <v>14</v>
      </c>
      <c r="H68" s="3"/>
      <c r="I68" s="3" t="s">
        <v>49</v>
      </c>
      <c r="J68" s="3" t="s">
        <v>21</v>
      </c>
      <c r="K68" s="3" t="s">
        <v>50</v>
      </c>
    </row>
    <row r="69" customFormat="false" ht="15" hidden="false" customHeight="false" outlineLevel="0" collapsed="false">
      <c r="A69" s="3" t="s">
        <v>166</v>
      </c>
      <c r="B69" s="3" t="s">
        <v>19</v>
      </c>
      <c r="C69" s="3" t="s">
        <v>157</v>
      </c>
      <c r="D69" s="3"/>
      <c r="E69" s="3" t="s">
        <v>167</v>
      </c>
      <c r="F69" s="3" t="s">
        <v>35</v>
      </c>
      <c r="G69" s="3" t="s">
        <v>158</v>
      </c>
      <c r="H69" s="3"/>
      <c r="I69" s="3" t="s">
        <v>16</v>
      </c>
      <c r="J69" s="3"/>
      <c r="K69" s="3"/>
    </row>
    <row r="70" customFormat="false" ht="15" hidden="false" customHeight="false" outlineLevel="0" collapsed="false">
      <c r="A70" s="3" t="s">
        <v>168</v>
      </c>
      <c r="B70" s="3" t="s">
        <v>19</v>
      </c>
      <c r="C70" s="3" t="s">
        <v>157</v>
      </c>
      <c r="D70" s="3"/>
      <c r="E70" s="3" t="s">
        <v>169</v>
      </c>
      <c r="F70" s="3" t="s">
        <v>13</v>
      </c>
      <c r="G70" s="3" t="s">
        <v>158</v>
      </c>
      <c r="H70" s="3"/>
      <c r="I70" s="3" t="s">
        <v>16</v>
      </c>
      <c r="J70" s="3"/>
      <c r="K70" s="3"/>
    </row>
    <row r="71" customFormat="false" ht="15" hidden="false" customHeight="false" outlineLevel="0" collapsed="false">
      <c r="A71" s="3" t="s">
        <v>170</v>
      </c>
      <c r="B71" s="3" t="s">
        <v>19</v>
      </c>
      <c r="C71" s="3" t="s">
        <v>157</v>
      </c>
      <c r="D71" s="3"/>
      <c r="E71" s="3" t="s">
        <v>171</v>
      </c>
      <c r="F71" s="3" t="s">
        <v>44</v>
      </c>
      <c r="G71" s="3" t="s">
        <v>158</v>
      </c>
      <c r="H71" s="3"/>
      <c r="I71" s="3" t="s">
        <v>16</v>
      </c>
      <c r="J71" s="3"/>
      <c r="K71" s="3"/>
    </row>
    <row r="72" customFormat="false" ht="15" hidden="false" customHeight="false" outlineLevel="0" collapsed="false">
      <c r="A72" s="3" t="s">
        <v>172</v>
      </c>
      <c r="B72" s="3" t="s">
        <v>19</v>
      </c>
      <c r="C72" s="3" t="s">
        <v>157</v>
      </c>
      <c r="D72" s="3"/>
      <c r="E72" s="3" t="s">
        <v>173</v>
      </c>
      <c r="F72" s="3" t="s">
        <v>66</v>
      </c>
      <c r="G72" s="3" t="s">
        <v>158</v>
      </c>
      <c r="H72" s="3"/>
      <c r="I72" s="3" t="s">
        <v>16</v>
      </c>
      <c r="J72" s="3"/>
      <c r="K72" s="3"/>
    </row>
    <row r="73" customFormat="false" ht="15" hidden="false" customHeight="false" outlineLevel="0" collapsed="false">
      <c r="A73" s="3" t="s">
        <v>174</v>
      </c>
      <c r="B73" s="3" t="s">
        <v>19</v>
      </c>
      <c r="C73" s="3" t="s">
        <v>157</v>
      </c>
      <c r="D73" s="3"/>
      <c r="E73" s="3" t="s">
        <v>175</v>
      </c>
      <c r="F73" s="3" t="s">
        <v>35</v>
      </c>
      <c r="G73" s="3" t="s">
        <v>158</v>
      </c>
      <c r="H73" s="3"/>
      <c r="I73" s="3" t="s">
        <v>16</v>
      </c>
      <c r="J73" s="3"/>
      <c r="K73" s="3"/>
    </row>
    <row r="74" customFormat="false" ht="23.85" hidden="false" customHeight="false" outlineLevel="0" collapsed="false">
      <c r="A74" s="3" t="s">
        <v>176</v>
      </c>
      <c r="B74" s="3" t="s">
        <v>19</v>
      </c>
      <c r="C74" s="3" t="s">
        <v>157</v>
      </c>
      <c r="D74" s="3"/>
      <c r="E74" s="3" t="s">
        <v>177</v>
      </c>
      <c r="F74" s="3" t="s">
        <v>28</v>
      </c>
      <c r="G74" s="3" t="s">
        <v>158</v>
      </c>
      <c r="H74" s="3"/>
      <c r="I74" s="3" t="s">
        <v>16</v>
      </c>
      <c r="J74" s="3"/>
      <c r="K74" s="3"/>
    </row>
    <row r="75" customFormat="false" ht="15" hidden="false" customHeight="false" outlineLevel="0" collapsed="false">
      <c r="A75" s="3" t="s">
        <v>178</v>
      </c>
      <c r="B75" s="3" t="s">
        <v>30</v>
      </c>
      <c r="C75" s="3" t="s">
        <v>157</v>
      </c>
      <c r="D75" s="3" t="s">
        <v>162</v>
      </c>
      <c r="E75" s="3" t="s">
        <v>179</v>
      </c>
      <c r="F75" s="3" t="s">
        <v>28</v>
      </c>
      <c r="G75" s="3" t="s">
        <v>14</v>
      </c>
      <c r="H75" s="3"/>
      <c r="I75" s="3"/>
      <c r="J75" s="3" t="s">
        <v>16</v>
      </c>
      <c r="K75" s="3" t="s">
        <v>50</v>
      </c>
    </row>
    <row r="76" customFormat="false" ht="15" hidden="false" customHeight="false" outlineLevel="0" collapsed="false">
      <c r="A76" s="3" t="s">
        <v>180</v>
      </c>
      <c r="B76" s="3" t="s">
        <v>30</v>
      </c>
      <c r="C76" s="3" t="s">
        <v>157</v>
      </c>
      <c r="D76" s="3" t="s">
        <v>162</v>
      </c>
      <c r="E76" s="3" t="s">
        <v>181</v>
      </c>
      <c r="F76" s="3" t="s">
        <v>44</v>
      </c>
      <c r="G76" s="3" t="s">
        <v>14</v>
      </c>
      <c r="H76" s="3"/>
      <c r="I76" s="3"/>
      <c r="J76" s="3" t="s">
        <v>16</v>
      </c>
      <c r="K76" s="3"/>
    </row>
    <row r="77" customFormat="false" ht="15" hidden="false" customHeight="false" outlineLevel="0" collapsed="false">
      <c r="A77" s="2" t="s">
        <v>182</v>
      </c>
      <c r="B77" s="2" t="s">
        <v>2</v>
      </c>
      <c r="C77" s="2" t="s">
        <v>183</v>
      </c>
      <c r="D77" s="2"/>
      <c r="E77" s="2" t="s">
        <v>183</v>
      </c>
      <c r="F77" s="2" t="s">
        <v>13</v>
      </c>
      <c r="G77" s="2" t="s">
        <v>184</v>
      </c>
      <c r="H77" s="2" t="s">
        <v>45</v>
      </c>
      <c r="I77" s="2" t="s">
        <v>185</v>
      </c>
      <c r="J77" s="2"/>
      <c r="K77" s="2"/>
    </row>
    <row r="78" customFormat="false" ht="15" hidden="false" customHeight="false" outlineLevel="0" collapsed="false">
      <c r="A78" s="3" t="s">
        <v>186</v>
      </c>
      <c r="B78" s="3" t="s">
        <v>19</v>
      </c>
      <c r="C78" s="3" t="s">
        <v>183</v>
      </c>
      <c r="D78" s="3"/>
      <c r="E78" s="3" t="s">
        <v>187</v>
      </c>
      <c r="F78" s="3" t="s">
        <v>13</v>
      </c>
      <c r="G78" s="3" t="s">
        <v>184</v>
      </c>
      <c r="H78" s="3"/>
      <c r="I78" s="3" t="s">
        <v>188</v>
      </c>
      <c r="J78" s="3"/>
      <c r="K78" s="3"/>
    </row>
    <row r="79" customFormat="false" ht="15" hidden="false" customHeight="false" outlineLevel="0" collapsed="false">
      <c r="A79" s="3" t="s">
        <v>189</v>
      </c>
      <c r="B79" s="3" t="s">
        <v>19</v>
      </c>
      <c r="C79" s="3" t="s">
        <v>183</v>
      </c>
      <c r="D79" s="3"/>
      <c r="E79" s="3" t="s">
        <v>190</v>
      </c>
      <c r="F79" s="3" t="s">
        <v>13</v>
      </c>
      <c r="G79" s="3" t="s">
        <v>14</v>
      </c>
      <c r="H79" s="3"/>
      <c r="I79" s="3" t="s">
        <v>191</v>
      </c>
      <c r="J79" s="3" t="s">
        <v>21</v>
      </c>
      <c r="K79" s="3"/>
    </row>
    <row r="80" customFormat="false" ht="15" hidden="false" customHeight="false" outlineLevel="0" collapsed="false">
      <c r="A80" s="3" t="s">
        <v>192</v>
      </c>
      <c r="B80" s="3" t="s">
        <v>19</v>
      </c>
      <c r="C80" s="3" t="s">
        <v>183</v>
      </c>
      <c r="D80" s="3"/>
      <c r="E80" s="3" t="s">
        <v>193</v>
      </c>
      <c r="F80" s="3" t="s">
        <v>44</v>
      </c>
      <c r="G80" s="3" t="s">
        <v>184</v>
      </c>
      <c r="H80" s="3"/>
      <c r="I80" s="3" t="s">
        <v>188</v>
      </c>
      <c r="J80" s="3"/>
      <c r="K80" s="3"/>
    </row>
    <row r="81" customFormat="false" ht="23.85" hidden="false" customHeight="false" outlineLevel="0" collapsed="false">
      <c r="A81" s="3" t="s">
        <v>194</v>
      </c>
      <c r="B81" s="3" t="s">
        <v>19</v>
      </c>
      <c r="C81" s="3" t="s">
        <v>183</v>
      </c>
      <c r="D81" s="3"/>
      <c r="E81" s="3" t="s">
        <v>195</v>
      </c>
      <c r="F81" s="3" t="s">
        <v>35</v>
      </c>
      <c r="G81" s="3" t="s">
        <v>184</v>
      </c>
      <c r="H81" s="3"/>
      <c r="I81" s="3" t="s">
        <v>188</v>
      </c>
      <c r="J81" s="3"/>
      <c r="K81" s="3"/>
    </row>
    <row r="82" customFormat="false" ht="23.85" hidden="false" customHeight="false" outlineLevel="0" collapsed="false">
      <c r="A82" s="3" t="s">
        <v>196</v>
      </c>
      <c r="B82" s="3" t="s">
        <v>19</v>
      </c>
      <c r="C82" s="3" t="s">
        <v>183</v>
      </c>
      <c r="D82" s="3"/>
      <c r="E82" s="3" t="s">
        <v>197</v>
      </c>
      <c r="F82" s="3" t="s">
        <v>35</v>
      </c>
      <c r="G82" s="3" t="s">
        <v>184</v>
      </c>
      <c r="H82" s="3"/>
      <c r="I82" s="3" t="s">
        <v>188</v>
      </c>
      <c r="J82" s="3"/>
      <c r="K82" s="3"/>
    </row>
    <row r="83" customFormat="false" ht="15" hidden="false" customHeight="false" outlineLevel="0" collapsed="false">
      <c r="A83" s="3" t="s">
        <v>198</v>
      </c>
      <c r="B83" s="3" t="s">
        <v>19</v>
      </c>
      <c r="C83" s="3" t="s">
        <v>183</v>
      </c>
      <c r="D83" s="3"/>
      <c r="E83" s="3" t="s">
        <v>199</v>
      </c>
      <c r="F83" s="3" t="s">
        <v>13</v>
      </c>
      <c r="G83" s="3" t="s">
        <v>184</v>
      </c>
      <c r="H83" s="3"/>
      <c r="I83" s="3" t="s">
        <v>188</v>
      </c>
      <c r="J83" s="3"/>
      <c r="K83" s="3"/>
    </row>
    <row r="84" customFormat="false" ht="15" hidden="false" customHeight="false" outlineLevel="0" collapsed="false">
      <c r="A84" s="3" t="s">
        <v>200</v>
      </c>
      <c r="B84" s="3" t="s">
        <v>19</v>
      </c>
      <c r="C84" s="3" t="s">
        <v>183</v>
      </c>
      <c r="D84" s="3"/>
      <c r="E84" s="3" t="s">
        <v>201</v>
      </c>
      <c r="F84" s="3" t="s">
        <v>35</v>
      </c>
      <c r="G84" s="3" t="s">
        <v>184</v>
      </c>
      <c r="H84" s="3"/>
      <c r="I84" s="3" t="s">
        <v>188</v>
      </c>
      <c r="J84" s="3"/>
      <c r="K84" s="3"/>
    </row>
  </sheetData>
  <autoFilter ref="A1:K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4" t="s">
        <v>202</v>
      </c>
    </row>
    <row r="2" customFormat="false" ht="15" hidden="false" customHeight="false" outlineLevel="0" collapsed="false">
      <c r="A2" s="5" t="s">
        <v>203</v>
      </c>
    </row>
    <row r="4" customFormat="false" ht="15" hidden="false" customHeight="false" outlineLevel="0" collapsed="false">
      <c r="A4" s="6" t="s">
        <v>2</v>
      </c>
      <c r="B4" s="6" t="s">
        <v>116</v>
      </c>
      <c r="C4" s="6" t="s">
        <v>184</v>
      </c>
      <c r="D4" s="6" t="s">
        <v>158</v>
      </c>
      <c r="E4" s="6" t="s">
        <v>14</v>
      </c>
      <c r="F4" s="6" t="s">
        <v>204</v>
      </c>
      <c r="G4" s="6" t="s">
        <v>205</v>
      </c>
    </row>
    <row r="5" customFormat="false" ht="15" hidden="false" customHeight="false" outlineLevel="0" collapsed="false">
      <c r="A5" s="7" t="s">
        <v>12</v>
      </c>
      <c r="B5" s="7" t="n">
        <f aca="false">COUNTIFS('Work Items'!$C$2:$C$84,$A5,'Work Items'!$G$2:$G$84,B$4,'Work Items'!$B$2:$B$84,"&lt;&gt;Epic")</f>
        <v>0</v>
      </c>
      <c r="C5" s="7" t="n">
        <f aca="false">COUNTIFS('Work Items'!$C$2:$C$84,$A5,'Work Items'!$G$2:$G$84,C$4,'Work Items'!$B$2:$B$84,"&lt;&gt;Epic")</f>
        <v>0</v>
      </c>
      <c r="D5" s="7" t="n">
        <f aca="false">COUNTIFS('Work Items'!$C$2:$C$84,$A5,'Work Items'!$G$2:$G$84,D$4,'Work Items'!$B$2:$B$84,"&lt;&gt;Epic")</f>
        <v>0</v>
      </c>
      <c r="E5" s="7" t="n">
        <f aca="false">COUNTIFS('Work Items'!$C$2:$C$84,$A5,'Work Items'!$G$2:$G$84,E$4,'Work Items'!$B$2:$B$84,"&lt;&gt;Epic")</f>
        <v>8</v>
      </c>
      <c r="F5" s="7" t="n">
        <f aca="false">SUM(B5:E5)</f>
        <v>8</v>
      </c>
      <c r="G5" s="8" t="n">
        <f aca="false">IF(F5=0,0,E5/F5)</f>
        <v>1</v>
      </c>
    </row>
    <row r="6" customFormat="false" ht="15" hidden="false" customHeight="false" outlineLevel="0" collapsed="false">
      <c r="A6" s="7" t="s">
        <v>43</v>
      </c>
      <c r="B6" s="7" t="n">
        <f aca="false">COUNTIFS('Work Items'!$C$2:$C$84,$A6,'Work Items'!$G$2:$G$84,B$4,'Work Items'!$B$2:$B$84,"&lt;&gt;Epic")</f>
        <v>0</v>
      </c>
      <c r="C6" s="7" t="n">
        <f aca="false">COUNTIFS('Work Items'!$C$2:$C$84,$A6,'Work Items'!$G$2:$G$84,C$4,'Work Items'!$B$2:$B$84,"&lt;&gt;Epic")</f>
        <v>0</v>
      </c>
      <c r="D6" s="7" t="n">
        <f aca="false">COUNTIFS('Work Items'!$C$2:$C$84,$A6,'Work Items'!$G$2:$G$84,D$4,'Work Items'!$B$2:$B$84,"&lt;&gt;Epic")</f>
        <v>0</v>
      </c>
      <c r="E6" s="7" t="n">
        <f aca="false">COUNTIFS('Work Items'!$C$2:$C$84,$A6,'Work Items'!$G$2:$G$84,E$4,'Work Items'!$B$2:$B$84,"&lt;&gt;Epic")</f>
        <v>14</v>
      </c>
      <c r="F6" s="7" t="n">
        <f aca="false">SUM(B6:E6)</f>
        <v>14</v>
      </c>
      <c r="G6" s="8" t="n">
        <f aca="false">IF(F6=0,0,E6/F6)</f>
        <v>1</v>
      </c>
    </row>
    <row r="7" customFormat="false" ht="15" hidden="false" customHeight="false" outlineLevel="0" collapsed="false">
      <c r="A7" s="7" t="s">
        <v>87</v>
      </c>
      <c r="B7" s="7" t="n">
        <f aca="false">COUNTIFS('Work Items'!$C$2:$C$84,$A7,'Work Items'!$G$2:$G$84,B$4,'Work Items'!$B$2:$B$84,"&lt;&gt;Epic")</f>
        <v>0</v>
      </c>
      <c r="C7" s="7" t="n">
        <f aca="false">COUNTIFS('Work Items'!$C$2:$C$84,$A7,'Work Items'!$G$2:$G$84,C$4,'Work Items'!$B$2:$B$84,"&lt;&gt;Epic")</f>
        <v>0</v>
      </c>
      <c r="D7" s="7" t="n">
        <f aca="false">COUNTIFS('Work Items'!$C$2:$C$84,$A7,'Work Items'!$G$2:$G$84,D$4,'Work Items'!$B$2:$B$84,"&lt;&gt;Epic")</f>
        <v>0</v>
      </c>
      <c r="E7" s="7" t="n">
        <f aca="false">COUNTIFS('Work Items'!$C$2:$C$84,$A7,'Work Items'!$G$2:$G$84,E$4,'Work Items'!$B$2:$B$84,"&lt;&gt;Epic")</f>
        <v>14</v>
      </c>
      <c r="F7" s="7" t="n">
        <f aca="false">SUM(B7:E7)</f>
        <v>14</v>
      </c>
      <c r="G7" s="8" t="n">
        <f aca="false">IF(F7=0,0,E7/F7)</f>
        <v>1</v>
      </c>
    </row>
    <row r="8" customFormat="false" ht="15" hidden="false" customHeight="false" outlineLevel="0" collapsed="false">
      <c r="A8" s="7" t="s">
        <v>115</v>
      </c>
      <c r="B8" s="7" t="n">
        <f aca="false">COUNTIFS('Work Items'!$C$2:$C$84,$A8,'Work Items'!$G$2:$G$84,B$4,'Work Items'!$B$2:$B$84,"&lt;&gt;Epic")</f>
        <v>10</v>
      </c>
      <c r="C8" s="7" t="n">
        <f aca="false">COUNTIFS('Work Items'!$C$2:$C$84,$A8,'Work Items'!$G$2:$G$84,C$4,'Work Items'!$B$2:$B$84,"&lt;&gt;Epic")</f>
        <v>0</v>
      </c>
      <c r="D8" s="7" t="n">
        <f aca="false">COUNTIFS('Work Items'!$C$2:$C$84,$A8,'Work Items'!$G$2:$G$84,D$4,'Work Items'!$B$2:$B$84,"&lt;&gt;Epic")</f>
        <v>0</v>
      </c>
      <c r="E8" s="7" t="n">
        <f aca="false">COUNTIFS('Work Items'!$C$2:$C$84,$A8,'Work Items'!$G$2:$G$84,E$4,'Work Items'!$B$2:$B$84,"&lt;&gt;Epic")</f>
        <v>0</v>
      </c>
      <c r="F8" s="7" t="n">
        <f aca="false">SUM(B8:E8)</f>
        <v>10</v>
      </c>
      <c r="G8" s="8" t="n">
        <f aca="false">IF(F8=0,0,E8/F8)</f>
        <v>0</v>
      </c>
    </row>
    <row r="9" customFormat="false" ht="15" hidden="false" customHeight="false" outlineLevel="0" collapsed="false">
      <c r="A9" s="7" t="s">
        <v>133</v>
      </c>
      <c r="B9" s="7" t="n">
        <f aca="false">COUNTIFS('Work Items'!$C$2:$C$84,$A9,'Work Items'!$G$2:$G$84,B$4,'Work Items'!$B$2:$B$84,"&lt;&gt;Epic")</f>
        <v>5</v>
      </c>
      <c r="C9" s="7" t="n">
        <f aca="false">COUNTIFS('Work Items'!$C$2:$C$84,$A9,'Work Items'!$G$2:$G$84,C$4,'Work Items'!$B$2:$B$84,"&lt;&gt;Epic")</f>
        <v>0</v>
      </c>
      <c r="D9" s="7" t="n">
        <f aca="false">COUNTIFS('Work Items'!$C$2:$C$84,$A9,'Work Items'!$G$2:$G$84,D$4,'Work Items'!$B$2:$B$84,"&lt;&gt;Epic")</f>
        <v>0</v>
      </c>
      <c r="E9" s="7" t="n">
        <f aca="false">COUNTIFS('Work Items'!$C$2:$C$84,$A9,'Work Items'!$G$2:$G$84,E$4,'Work Items'!$B$2:$B$84,"&lt;&gt;Epic")</f>
        <v>0</v>
      </c>
      <c r="F9" s="7" t="n">
        <f aca="false">SUM(B9:E9)</f>
        <v>5</v>
      </c>
      <c r="G9" s="8" t="n">
        <f aca="false">IF(F9=0,0,E9/F9)</f>
        <v>0</v>
      </c>
    </row>
    <row r="10" customFormat="false" ht="15" hidden="false" customHeight="false" outlineLevel="0" collapsed="false">
      <c r="A10" s="7" t="s">
        <v>145</v>
      </c>
      <c r="B10" s="7" t="n">
        <f aca="false">COUNTIFS('Work Items'!$C$2:$C$84,$A10,'Work Items'!$G$2:$G$84,B$4,'Work Items'!$B$2:$B$84,"&lt;&gt;Epic")</f>
        <v>1</v>
      </c>
      <c r="C10" s="7" t="n">
        <f aca="false">COUNTIFS('Work Items'!$C$2:$C$84,$A10,'Work Items'!$G$2:$G$84,C$4,'Work Items'!$B$2:$B$84,"&lt;&gt;Epic")</f>
        <v>0</v>
      </c>
      <c r="D10" s="7" t="n">
        <f aca="false">COUNTIFS('Work Items'!$C$2:$C$84,$A10,'Work Items'!$G$2:$G$84,D$4,'Work Items'!$B$2:$B$84,"&lt;&gt;Epic")</f>
        <v>0</v>
      </c>
      <c r="E10" s="7" t="n">
        <f aca="false">COUNTIFS('Work Items'!$C$2:$C$84,$A10,'Work Items'!$G$2:$G$84,E$4,'Work Items'!$B$2:$B$84,"&lt;&gt;Epic")</f>
        <v>4</v>
      </c>
      <c r="F10" s="7" t="n">
        <f aca="false">SUM(B10:E10)</f>
        <v>5</v>
      </c>
      <c r="G10" s="8" t="n">
        <f aca="false">IF(F10=0,0,E10/F10)</f>
        <v>0.8</v>
      </c>
    </row>
    <row r="11" customFormat="false" ht="15" hidden="false" customHeight="false" outlineLevel="0" collapsed="false">
      <c r="A11" s="7" t="s">
        <v>157</v>
      </c>
      <c r="B11" s="7" t="n">
        <f aca="false">COUNTIFS('Work Items'!$C$2:$C$84,$A11,'Work Items'!$G$2:$G$84,B$4,'Work Items'!$B$2:$B$84,"&lt;&gt;Epic")</f>
        <v>0</v>
      </c>
      <c r="C11" s="7" t="n">
        <f aca="false">COUNTIFS('Work Items'!$C$2:$C$84,$A11,'Work Items'!$G$2:$G$84,C$4,'Work Items'!$B$2:$B$84,"&lt;&gt;Epic")</f>
        <v>0</v>
      </c>
      <c r="D11" s="7" t="n">
        <f aca="false">COUNTIFS('Work Items'!$C$2:$C$84,$A11,'Work Items'!$G$2:$G$84,D$4,'Work Items'!$B$2:$B$84,"&lt;&gt;Epic")</f>
        <v>8</v>
      </c>
      <c r="E11" s="7" t="n">
        <f aca="false">COUNTIFS('Work Items'!$C$2:$C$84,$A11,'Work Items'!$G$2:$G$84,E$4,'Work Items'!$B$2:$B$84,"&lt;&gt;Epic")</f>
        <v>4</v>
      </c>
      <c r="F11" s="7" t="n">
        <f aca="false">SUM(B11:E11)</f>
        <v>12</v>
      </c>
      <c r="G11" s="8" t="n">
        <f aca="false">IF(F11=0,0,E11/F11)</f>
        <v>0.333333333333333</v>
      </c>
    </row>
    <row r="12" customFormat="false" ht="15" hidden="false" customHeight="false" outlineLevel="0" collapsed="false">
      <c r="A12" s="7" t="s">
        <v>183</v>
      </c>
      <c r="B12" s="7" t="n">
        <f aca="false">COUNTIFS('Work Items'!$C$2:$C$84,$A12,'Work Items'!$G$2:$G$84,B$4,'Work Items'!$B$2:$B$84,"&lt;&gt;Epic")</f>
        <v>0</v>
      </c>
      <c r="C12" s="7" t="n">
        <f aca="false">COUNTIFS('Work Items'!$C$2:$C$84,$A12,'Work Items'!$G$2:$G$84,C$4,'Work Items'!$B$2:$B$84,"&lt;&gt;Epic")</f>
        <v>6</v>
      </c>
      <c r="D12" s="7" t="n">
        <f aca="false">COUNTIFS('Work Items'!$C$2:$C$84,$A12,'Work Items'!$G$2:$G$84,D$4,'Work Items'!$B$2:$B$84,"&lt;&gt;Epic")</f>
        <v>0</v>
      </c>
      <c r="E12" s="7" t="n">
        <f aca="false">COUNTIFS('Work Items'!$C$2:$C$84,$A12,'Work Items'!$G$2:$G$84,E$4,'Work Items'!$B$2:$B$84,"&lt;&gt;Epic")</f>
        <v>1</v>
      </c>
      <c r="F12" s="7" t="n">
        <f aca="false">SUM(B12:E12)</f>
        <v>7</v>
      </c>
      <c r="G12" s="8" t="n">
        <f aca="false">IF(F12=0,0,E12/F12)</f>
        <v>0.142857142857143</v>
      </c>
    </row>
    <row r="13" customFormat="false" ht="15" hidden="false" customHeight="false" outlineLevel="0" collapsed="false">
      <c r="A13" s="9" t="s">
        <v>204</v>
      </c>
      <c r="B13" s="7" t="n">
        <f aca="false">SUM(B5:B12)</f>
        <v>16</v>
      </c>
      <c r="C13" s="7" t="n">
        <f aca="false">SUM(C5:C12)</f>
        <v>6</v>
      </c>
      <c r="D13" s="7" t="n">
        <f aca="false">SUM(D5:D12)</f>
        <v>8</v>
      </c>
      <c r="E13" s="7" t="n">
        <f aca="false">SUM(E5:E12)</f>
        <v>45</v>
      </c>
      <c r="F13" s="7" t="n">
        <f aca="false">SUM(F5:F12)</f>
        <v>75</v>
      </c>
      <c r="G13" s="8" t="n">
        <f aca="false">IF(F13=0,0,E13/F13)</f>
        <v>0.6</v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9" t="s">
        <v>206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6" t="s">
        <v>5</v>
      </c>
      <c r="B16" s="6" t="s">
        <v>116</v>
      </c>
      <c r="C16" s="6" t="s">
        <v>184</v>
      </c>
      <c r="D16" s="6" t="s">
        <v>158</v>
      </c>
      <c r="E16" s="6" t="s">
        <v>14</v>
      </c>
      <c r="F16" s="6" t="s">
        <v>204</v>
      </c>
      <c r="G16" s="7"/>
    </row>
    <row r="17" customFormat="false" ht="15" hidden="false" customHeight="false" outlineLevel="0" collapsed="false">
      <c r="A17" s="7" t="s">
        <v>66</v>
      </c>
      <c r="B17" s="7" t="n">
        <f aca="false">COUNTIFS('Work Items'!$F$2:$F$84,$A17,'Work Items'!$G$2:$G$84,B$16,'Work Items'!$B$2:$B$84,"&lt;&gt;Epic")</f>
        <v>5</v>
      </c>
      <c r="C17" s="7" t="n">
        <f aca="false">COUNTIFS('Work Items'!$F$2:$F$84,$A17,'Work Items'!$G$2:$G$84,C$16,'Work Items'!$B$2:$B$84,"&lt;&gt;Epic")</f>
        <v>0</v>
      </c>
      <c r="D17" s="7" t="n">
        <f aca="false">COUNTIFS('Work Items'!$F$2:$F$84,$A17,'Work Items'!$G$2:$G$84,D$16,'Work Items'!$B$2:$B$84,"&lt;&gt;Epic")</f>
        <v>1</v>
      </c>
      <c r="E17" s="7" t="n">
        <f aca="false">COUNTIFS('Work Items'!$F$2:$F$84,$A17,'Work Items'!$G$2:$G$84,E$16,'Work Items'!$B$2:$B$84,"&lt;&gt;Epic")</f>
        <v>8</v>
      </c>
      <c r="F17" s="7" t="n">
        <f aca="false">SUM(B17:E17)</f>
        <v>14</v>
      </c>
      <c r="G17" s="7"/>
    </row>
    <row r="18" customFormat="false" ht="15" hidden="false" customHeight="false" outlineLevel="0" collapsed="false">
      <c r="A18" s="7" t="s">
        <v>13</v>
      </c>
      <c r="B18" s="7" t="n">
        <f aca="false">COUNTIFS('Work Items'!$F$2:$F$84,$A18,'Work Items'!$G$2:$G$84,B$16,'Work Items'!$B$2:$B$84,"&lt;&gt;Epic")</f>
        <v>2</v>
      </c>
      <c r="C18" s="7" t="n">
        <f aca="false">COUNTIFS('Work Items'!$F$2:$F$84,$A18,'Work Items'!$G$2:$G$84,C$16,'Work Items'!$B$2:$B$84,"&lt;&gt;Epic")</f>
        <v>2</v>
      </c>
      <c r="D18" s="7" t="n">
        <f aca="false">COUNTIFS('Work Items'!$F$2:$F$84,$A18,'Work Items'!$G$2:$G$84,D$16,'Work Items'!$B$2:$B$84,"&lt;&gt;Epic")</f>
        <v>1</v>
      </c>
      <c r="E18" s="7" t="n">
        <f aca="false">COUNTIFS('Work Items'!$F$2:$F$84,$A18,'Work Items'!$G$2:$G$84,E$16,'Work Items'!$B$2:$B$84,"&lt;&gt;Epic")</f>
        <v>12</v>
      </c>
      <c r="F18" s="7" t="n">
        <f aca="false">SUM(B18:E18)</f>
        <v>17</v>
      </c>
      <c r="G18" s="7"/>
    </row>
    <row r="19" customFormat="false" ht="15" hidden="false" customHeight="false" outlineLevel="0" collapsed="false">
      <c r="A19" s="7" t="s">
        <v>44</v>
      </c>
      <c r="B19" s="7" t="n">
        <f aca="false">COUNTIFS('Work Items'!$F$2:$F$84,$A19,'Work Items'!$G$2:$G$84,B$16,'Work Items'!$B$2:$B$84,"&lt;&gt;Epic")</f>
        <v>5</v>
      </c>
      <c r="C19" s="7" t="n">
        <f aca="false">COUNTIFS('Work Items'!$F$2:$F$84,$A19,'Work Items'!$G$2:$G$84,C$16,'Work Items'!$B$2:$B$84,"&lt;&gt;Epic")</f>
        <v>1</v>
      </c>
      <c r="D19" s="7" t="n">
        <f aca="false">COUNTIFS('Work Items'!$F$2:$F$84,$A19,'Work Items'!$G$2:$G$84,D$16,'Work Items'!$B$2:$B$84,"&lt;&gt;Epic")</f>
        <v>2</v>
      </c>
      <c r="E19" s="7" t="n">
        <f aca="false">COUNTIFS('Work Items'!$F$2:$F$84,$A19,'Work Items'!$G$2:$G$84,E$16,'Work Items'!$B$2:$B$84,"&lt;&gt;Epic")</f>
        <v>7</v>
      </c>
      <c r="F19" s="7" t="n">
        <f aca="false">SUM(B19:E19)</f>
        <v>15</v>
      </c>
      <c r="G19" s="7"/>
    </row>
    <row r="20" customFormat="false" ht="15" hidden="false" customHeight="false" outlineLevel="0" collapsed="false">
      <c r="A20" s="7" t="s">
        <v>28</v>
      </c>
      <c r="B20" s="7" t="n">
        <f aca="false">COUNTIFS('Work Items'!$F$2:$F$84,$A20,'Work Items'!$G$2:$G$84,B$16,'Work Items'!$B$2:$B$84,"&lt;&gt;Epic")</f>
        <v>4</v>
      </c>
      <c r="C20" s="7" t="n">
        <f aca="false">COUNTIFS('Work Items'!$F$2:$F$84,$A20,'Work Items'!$G$2:$G$84,C$16,'Work Items'!$B$2:$B$84,"&lt;&gt;Epic")</f>
        <v>0</v>
      </c>
      <c r="D20" s="7" t="n">
        <f aca="false">COUNTIFS('Work Items'!$F$2:$F$84,$A20,'Work Items'!$G$2:$G$84,D$16,'Work Items'!$B$2:$B$84,"&lt;&gt;Epic")</f>
        <v>2</v>
      </c>
      <c r="E20" s="7" t="n">
        <f aca="false">COUNTIFS('Work Items'!$F$2:$F$84,$A20,'Work Items'!$G$2:$G$84,E$16,'Work Items'!$B$2:$B$84,"&lt;&gt;Epic")</f>
        <v>6</v>
      </c>
      <c r="F20" s="7" t="n">
        <f aca="false">SUM(B20:E20)</f>
        <v>12</v>
      </c>
      <c r="G20" s="7"/>
    </row>
    <row r="21" customFormat="false" ht="15" hidden="false" customHeight="false" outlineLevel="0" collapsed="false">
      <c r="A21" s="7" t="s">
        <v>35</v>
      </c>
      <c r="B21" s="7" t="n">
        <f aca="false">COUNTIFS('Work Items'!$F$2:$F$84,$A21,'Work Items'!$G$2:$G$84,B$16,'Work Items'!$B$2:$B$84,"&lt;&gt;Epic")</f>
        <v>0</v>
      </c>
      <c r="C21" s="7" t="n">
        <f aca="false">COUNTIFS('Work Items'!$F$2:$F$84,$A21,'Work Items'!$G$2:$G$84,C$16,'Work Items'!$B$2:$B$84,"&lt;&gt;Epic")</f>
        <v>3</v>
      </c>
      <c r="D21" s="7" t="n">
        <f aca="false">COUNTIFS('Work Items'!$F$2:$F$84,$A21,'Work Items'!$G$2:$G$84,D$16,'Work Items'!$B$2:$B$84,"&lt;&gt;Epic")</f>
        <v>2</v>
      </c>
      <c r="E21" s="7" t="n">
        <f aca="false">COUNTIFS('Work Items'!$F$2:$F$84,$A21,'Work Items'!$G$2:$G$84,E$16,'Work Items'!$B$2:$B$84,"&lt;&gt;Epic")</f>
        <v>12</v>
      </c>
      <c r="F21" s="7" t="n">
        <f aca="false">SUM(B21:E21)</f>
        <v>17</v>
      </c>
      <c r="G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2026-10-09T06:27:05Z</dcterms:created>
  <dc:creator>openpyxl</dc:creator>
  <dc:description/>
  <dc:language>en-US</dc:language>
  <cp:lastModifiedBy/>
  <dcterms:modified xsi:type="dcterms:W3CDTF">2026-10-09T06:27:05Z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